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klebi\Desktop\"/>
    </mc:Choice>
  </mc:AlternateContent>
  <xr:revisionPtr revIDLastSave="0" documentId="8_{34AB3898-0CE7-48CA-AAFD-7EBE2218ED81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Menu" sheetId="7" r:id="rId1"/>
    <sheet name="Dados" sheetId="3" r:id="rId2"/>
  </sheets>
  <definedNames>
    <definedName name="_xlnm._FilterDatabase" localSheetId="1" hidden="1">Dados!$A$1:$J$251</definedName>
    <definedName name="csku">Dados!$A$6:$A$254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7" i="7" l="1"/>
  <c r="S21" i="7"/>
  <c r="Q21" i="7"/>
  <c r="K21" i="7"/>
  <c r="I21" i="7"/>
  <c r="J2" i="3"/>
  <c r="J3" i="3"/>
  <c r="J4" i="3"/>
  <c r="J5" i="3"/>
  <c r="J6" i="3"/>
  <c r="J7" i="3"/>
  <c r="J8" i="3"/>
  <c r="U21" i="7" s="1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M37" i="7" s="1"/>
  <c r="J197" i="3"/>
  <c r="J198" i="3"/>
  <c r="J199" i="3"/>
  <c r="J200" i="3"/>
  <c r="J201" i="3"/>
  <c r="S37" i="7" s="1"/>
  <c r="J202" i="3"/>
  <c r="J203" i="3"/>
  <c r="J204" i="3"/>
  <c r="J205" i="3"/>
  <c r="J206" i="3"/>
  <c r="J207" i="3"/>
  <c r="J208" i="3"/>
  <c r="J209" i="3"/>
  <c r="J210" i="3"/>
  <c r="J211" i="3"/>
  <c r="U37" i="7" s="1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Q37" i="7" s="1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F2" i="3"/>
  <c r="F3" i="3"/>
  <c r="F4" i="3"/>
  <c r="F5" i="3"/>
  <c r="F6" i="3"/>
  <c r="F7" i="3"/>
  <c r="F8" i="3"/>
  <c r="M21" i="7" s="1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I37" i="7" l="1"/>
</calcChain>
</file>

<file path=xl/sharedStrings.xml><?xml version="1.0" encoding="utf-8"?>
<sst xmlns="http://schemas.openxmlformats.org/spreadsheetml/2006/main" count="1277" uniqueCount="320">
  <si>
    <t>Notebook</t>
  </si>
  <si>
    <t>Televisão</t>
  </si>
  <si>
    <t>Tablet</t>
  </si>
  <si>
    <t>SmartWatch</t>
  </si>
  <si>
    <t>Câmera</t>
  </si>
  <si>
    <t>SKU</t>
  </si>
  <si>
    <t>Rio de Janeiro</t>
  </si>
  <si>
    <t>Belo Horizonte</t>
  </si>
  <si>
    <t>Salvador</t>
  </si>
  <si>
    <t>Curitiba</t>
  </si>
  <si>
    <t>Recife</t>
  </si>
  <si>
    <t>Porto Alegre</t>
  </si>
  <si>
    <t>Goiás</t>
  </si>
  <si>
    <t>São Paulo</t>
  </si>
  <si>
    <t>HL7348</t>
  </si>
  <si>
    <t>HL2714</t>
  </si>
  <si>
    <t>HL4379</t>
  </si>
  <si>
    <t>HL1148</t>
  </si>
  <si>
    <t>Fortaleza</t>
  </si>
  <si>
    <t>HL1918</t>
  </si>
  <si>
    <t>iPhone</t>
  </si>
  <si>
    <t>HL9962</t>
  </si>
  <si>
    <t>Android</t>
  </si>
  <si>
    <t>HL8851</t>
  </si>
  <si>
    <t>Gabriel</t>
  </si>
  <si>
    <t>Renan</t>
  </si>
  <si>
    <t>Camila</t>
  </si>
  <si>
    <t>Clara</t>
  </si>
  <si>
    <t>Bruno</t>
  </si>
  <si>
    <t>Eduardo</t>
  </si>
  <si>
    <t>Pacheco</t>
  </si>
  <si>
    <t>Sarah</t>
  </si>
  <si>
    <t>Souza</t>
  </si>
  <si>
    <t>Alexandre</t>
  </si>
  <si>
    <t>Rodriguez</t>
  </si>
  <si>
    <t>Thays</t>
  </si>
  <si>
    <t>Castro</t>
  </si>
  <si>
    <t>Jessica</t>
  </si>
  <si>
    <t>Cordovil</t>
  </si>
  <si>
    <t>Silva</t>
  </si>
  <si>
    <t>Alon</t>
  </si>
  <si>
    <t>Palmeira</t>
  </si>
  <si>
    <t>Rafael</t>
  </si>
  <si>
    <t>Rocha</t>
  </si>
  <si>
    <t>Camilla</t>
  </si>
  <si>
    <t>Guimarães</t>
  </si>
  <si>
    <t>Daniel</t>
  </si>
  <si>
    <t>Monteiro</t>
  </si>
  <si>
    <t>Ylana</t>
  </si>
  <si>
    <t>Teraoka</t>
  </si>
  <si>
    <t>Caio</t>
  </si>
  <si>
    <t>Ferreira</t>
  </si>
  <si>
    <t>Mariana</t>
  </si>
  <si>
    <t>Freire</t>
  </si>
  <si>
    <t>Carolina</t>
  </si>
  <si>
    <t>Alfradique</t>
  </si>
  <si>
    <t>Leandro</t>
  </si>
  <si>
    <t>Rodrigues</t>
  </si>
  <si>
    <t>Elaine</t>
  </si>
  <si>
    <t>Santos</t>
  </si>
  <si>
    <t>Henrique</t>
  </si>
  <si>
    <t>Katharina</t>
  </si>
  <si>
    <t>Barros</t>
  </si>
  <si>
    <t>Lucas</t>
  </si>
  <si>
    <t>Fillipe</t>
  </si>
  <si>
    <t>Almeida</t>
  </si>
  <si>
    <t>Carla</t>
  </si>
  <si>
    <t>Zakhm</t>
  </si>
  <si>
    <t>Danilo</t>
  </si>
  <si>
    <t>Rubim</t>
  </si>
  <si>
    <t>Bianca</t>
  </si>
  <si>
    <t>Tatsch</t>
  </si>
  <si>
    <t>Bernard</t>
  </si>
  <si>
    <t>Pedrosa</t>
  </si>
  <si>
    <t>Pedro</t>
  </si>
  <si>
    <t>Oliveira</t>
  </si>
  <si>
    <t>Puntel</t>
  </si>
  <si>
    <t>Clarissa</t>
  </si>
  <si>
    <t>Nathan</t>
  </si>
  <si>
    <t>Morelli</t>
  </si>
  <si>
    <t>Rubens</t>
  </si>
  <si>
    <t>Netto</t>
  </si>
  <si>
    <t>Guido</t>
  </si>
  <si>
    <t>Beatriz</t>
  </si>
  <si>
    <t>Li</t>
  </si>
  <si>
    <t>João</t>
  </si>
  <si>
    <t>Aires</t>
  </si>
  <si>
    <t>Rodrigo</t>
  </si>
  <si>
    <t>Júlio</t>
  </si>
  <si>
    <t>Alves</t>
  </si>
  <si>
    <t>Paloma</t>
  </si>
  <si>
    <t>Sperandei</t>
  </si>
  <si>
    <t>Quindeler</t>
  </si>
  <si>
    <t>Lenon</t>
  </si>
  <si>
    <t>Fernandes</t>
  </si>
  <si>
    <t>Larissa</t>
  </si>
  <si>
    <t>Cruz</t>
  </si>
  <si>
    <t>Guilherme</t>
  </si>
  <si>
    <t>Merotto</t>
  </si>
  <si>
    <t>Myllena</t>
  </si>
  <si>
    <t>Carneiro</t>
  </si>
  <si>
    <t>Breno</t>
  </si>
  <si>
    <t>Farias</t>
  </si>
  <si>
    <t>Vivianne</t>
  </si>
  <si>
    <t>Ulisses</t>
  </si>
  <si>
    <t>Arruda</t>
  </si>
  <si>
    <t>Lorena</t>
  </si>
  <si>
    <t>Kohn</t>
  </si>
  <si>
    <t>Raphael</t>
  </si>
  <si>
    <t>Guedes</t>
  </si>
  <si>
    <t>Lemos</t>
  </si>
  <si>
    <t>Juliana</t>
  </si>
  <si>
    <t>Goes</t>
  </si>
  <si>
    <t>Kim</t>
  </si>
  <si>
    <t>Ana</t>
  </si>
  <si>
    <t>Dantas</t>
  </si>
  <si>
    <t>Conceição</t>
  </si>
  <si>
    <t>Marina</t>
  </si>
  <si>
    <t>Mesquita</t>
  </si>
  <si>
    <t>Sandy</t>
  </si>
  <si>
    <t>Ribeiro</t>
  </si>
  <si>
    <t>Adrielle</t>
  </si>
  <si>
    <t>Vieira</t>
  </si>
  <si>
    <t>Jackson</t>
  </si>
  <si>
    <t>Derossi</t>
  </si>
  <si>
    <t>Isabela</t>
  </si>
  <si>
    <t>Teixeira</t>
  </si>
  <si>
    <t>Willian</t>
  </si>
  <si>
    <t>Albino</t>
  </si>
  <si>
    <t>Costa</t>
  </si>
  <si>
    <t>Bernardo</t>
  </si>
  <si>
    <t>Botelho</t>
  </si>
  <si>
    <t>Carlos</t>
  </si>
  <si>
    <t>Melo</t>
  </si>
  <si>
    <t>Figueiredo</t>
  </si>
  <si>
    <t>Raissa</t>
  </si>
  <si>
    <t>Negrelli</t>
  </si>
  <si>
    <t>Machado</t>
  </si>
  <si>
    <t>Jéssica</t>
  </si>
  <si>
    <t>Resinente</t>
  </si>
  <si>
    <t>Stephanie</t>
  </si>
  <si>
    <t>Gonçalves</t>
  </si>
  <si>
    <t>Caroline</t>
  </si>
  <si>
    <t>Aquino</t>
  </si>
  <si>
    <t>Marcelo</t>
  </si>
  <si>
    <t>Guadagnino</t>
  </si>
  <si>
    <t>Vianna</t>
  </si>
  <si>
    <t>Thiago</t>
  </si>
  <si>
    <t>Lima</t>
  </si>
  <si>
    <t>Junior</t>
  </si>
  <si>
    <t>Victor</t>
  </si>
  <si>
    <t>Gomes</t>
  </si>
  <si>
    <t>Deysiane</t>
  </si>
  <si>
    <t>Medronho</t>
  </si>
  <si>
    <t>Livia</t>
  </si>
  <si>
    <t>Codeceira</t>
  </si>
  <si>
    <t>Thales</t>
  </si>
  <si>
    <t>Fanara</t>
  </si>
  <si>
    <t>Lira</t>
  </si>
  <si>
    <t>Abraçado</t>
  </si>
  <si>
    <t>Victoria</t>
  </si>
  <si>
    <t>Tavares</t>
  </si>
  <si>
    <t>Jonatas</t>
  </si>
  <si>
    <t>Essaber</t>
  </si>
  <si>
    <t>Luíza</t>
  </si>
  <si>
    <t>Goulart</t>
  </si>
  <si>
    <t>Filho</t>
  </si>
  <si>
    <t>Matheus</t>
  </si>
  <si>
    <t>Caputo</t>
  </si>
  <si>
    <t>Aline</t>
  </si>
  <si>
    <t>Andrade</t>
  </si>
  <si>
    <t>Fontoura</t>
  </si>
  <si>
    <t>Aragão</t>
  </si>
  <si>
    <t>Raul</t>
  </si>
  <si>
    <t>Junqueira</t>
  </si>
  <si>
    <t>Soares</t>
  </si>
  <si>
    <t>Isabel</t>
  </si>
  <si>
    <t>Leite</t>
  </si>
  <si>
    <t>Barrozo</t>
  </si>
  <si>
    <t>Raíza</t>
  </si>
  <si>
    <t>Lopes</t>
  </si>
  <si>
    <t>Débora</t>
  </si>
  <si>
    <t>Cavalcanti</t>
  </si>
  <si>
    <t>Maurício</t>
  </si>
  <si>
    <t>Dias</t>
  </si>
  <si>
    <t>Allan</t>
  </si>
  <si>
    <t>Candido</t>
  </si>
  <si>
    <t>Ferezin</t>
  </si>
  <si>
    <t>Roberta</t>
  </si>
  <si>
    <t>Pimenta</t>
  </si>
  <si>
    <t>Cardoso</t>
  </si>
  <si>
    <t>Paola</t>
  </si>
  <si>
    <t>Abreu</t>
  </si>
  <si>
    <t>Gustavo</t>
  </si>
  <si>
    <t>Wilson</t>
  </si>
  <si>
    <t>Meirelles</t>
  </si>
  <si>
    <t>Laura</t>
  </si>
  <si>
    <t>Araujo</t>
  </si>
  <si>
    <t>David</t>
  </si>
  <si>
    <t>Assumpção</t>
  </si>
  <si>
    <t>Michetti</t>
  </si>
  <si>
    <t>Bárbara</t>
  </si>
  <si>
    <t>Diego</t>
  </si>
  <si>
    <t>Marchesi</t>
  </si>
  <si>
    <t>Ursulino</t>
  </si>
  <si>
    <t>Rilson</t>
  </si>
  <si>
    <t>Barbosa</t>
  </si>
  <si>
    <t>Portela</t>
  </si>
  <si>
    <t>Nogueira</t>
  </si>
  <si>
    <t>Nunes</t>
  </si>
  <si>
    <t>Fernanda</t>
  </si>
  <si>
    <t>Juan</t>
  </si>
  <si>
    <t>Thomáz</t>
  </si>
  <si>
    <t>Bôas</t>
  </si>
  <si>
    <t>Andreza</t>
  </si>
  <si>
    <t>Ramos</t>
  </si>
  <si>
    <t>Gabrielle</t>
  </si>
  <si>
    <t>Porto</t>
  </si>
  <si>
    <t>Kimberly</t>
  </si>
  <si>
    <t>Sad</t>
  </si>
  <si>
    <t>Capitulo</t>
  </si>
  <si>
    <t>Marins</t>
  </si>
  <si>
    <t>Morais</t>
  </si>
  <si>
    <t>Delgado</t>
  </si>
  <si>
    <t>Sthefeson</t>
  </si>
  <si>
    <t>Barroso</t>
  </si>
  <si>
    <t>Thais</t>
  </si>
  <si>
    <t>Philipe</t>
  </si>
  <si>
    <t>Morete</t>
  </si>
  <si>
    <t>Ravena</t>
  </si>
  <si>
    <t>Bhering</t>
  </si>
  <si>
    <t>Patrícia</t>
  </si>
  <si>
    <t>Amaral</t>
  </si>
  <si>
    <t>Felipe</t>
  </si>
  <si>
    <t>Jorge</t>
  </si>
  <si>
    <t>Rafaela</t>
  </si>
  <si>
    <t>Bruna</t>
  </si>
  <si>
    <t>Gabriella</t>
  </si>
  <si>
    <t>Sagrillo</t>
  </si>
  <si>
    <t>Mendonça</t>
  </si>
  <si>
    <t>Sena</t>
  </si>
  <si>
    <t>Luiza</t>
  </si>
  <si>
    <t>Samara</t>
  </si>
  <si>
    <t>Pinto</t>
  </si>
  <si>
    <t>Florim</t>
  </si>
  <si>
    <t>Arthur</t>
  </si>
  <si>
    <t>Platini</t>
  </si>
  <si>
    <t>Heimlich</t>
  </si>
  <si>
    <t>Dykson</t>
  </si>
  <si>
    <t>Catarina</t>
  </si>
  <si>
    <t>Priscila</t>
  </si>
  <si>
    <t>Carvalho</t>
  </si>
  <si>
    <t>Azevedo</t>
  </si>
  <si>
    <t>Daniela</t>
  </si>
  <si>
    <t>Rosa</t>
  </si>
  <si>
    <t>Isabelle</t>
  </si>
  <si>
    <t>Firmino</t>
  </si>
  <si>
    <t>Roberto</t>
  </si>
  <si>
    <t>Tiradentes</t>
  </si>
  <si>
    <t>Gama</t>
  </si>
  <si>
    <t>Giovana</t>
  </si>
  <si>
    <t>Vilela</t>
  </si>
  <si>
    <t>Adriana</t>
  </si>
  <si>
    <t>Paz</t>
  </si>
  <si>
    <t>Monte</t>
  </si>
  <si>
    <t>Júnior</t>
  </si>
  <si>
    <t>Michelle</t>
  </si>
  <si>
    <t>Brenno</t>
  </si>
  <si>
    <t>Vanessa</t>
  </si>
  <si>
    <t>Bach</t>
  </si>
  <si>
    <t>Mello</t>
  </si>
  <si>
    <t>Luis</t>
  </si>
  <si>
    <t>Vasconcelos</t>
  </si>
  <si>
    <t>Marcela</t>
  </si>
  <si>
    <t>Medeiros</t>
  </si>
  <si>
    <t>Miranda</t>
  </si>
  <si>
    <t>Eric</t>
  </si>
  <si>
    <t>Khaio</t>
  </si>
  <si>
    <t>Brito</t>
  </si>
  <si>
    <t>Amanda</t>
  </si>
  <si>
    <t>Isabella</t>
  </si>
  <si>
    <t>Scalabrin</t>
  </si>
  <si>
    <t>Diogo</t>
  </si>
  <si>
    <t>Ressurreição</t>
  </si>
  <si>
    <t>Mônica</t>
  </si>
  <si>
    <t>Rotolo</t>
  </si>
  <si>
    <t>Pereira</t>
  </si>
  <si>
    <t>Ferman</t>
  </si>
  <si>
    <t>Correa</t>
  </si>
  <si>
    <t>Passos</t>
  </si>
  <si>
    <t>Anna</t>
  </si>
  <si>
    <t>Moraes</t>
  </si>
  <si>
    <t>Vinícius</t>
  </si>
  <si>
    <t>Antunes</t>
  </si>
  <si>
    <t>Giuseppe</t>
  </si>
  <si>
    <t>Borges</t>
  </si>
  <si>
    <t>José</t>
  </si>
  <si>
    <t>Nauenberg</t>
  </si>
  <si>
    <t>Bastazini</t>
  </si>
  <si>
    <t>Viviane</t>
  </si>
  <si>
    <t>Resende</t>
  </si>
  <si>
    <t>LOJA</t>
  </si>
  <si>
    <t>PRODUTO</t>
  </si>
  <si>
    <t>NOME</t>
  </si>
  <si>
    <t>SOBRENOME</t>
  </si>
  <si>
    <t>DATA</t>
  </si>
  <si>
    <t>PREÇO UNITARIO</t>
  </si>
  <si>
    <t>QUANTIDADE VENDIDA</t>
  </si>
  <si>
    <t>MENU</t>
  </si>
  <si>
    <t>INFORME O SKU</t>
  </si>
  <si>
    <t>NOME COMPLETO</t>
  </si>
  <si>
    <t>QUANT. VENDIDA</t>
  </si>
  <si>
    <t>NOME CLIENTE</t>
  </si>
  <si>
    <t>VALOR TOTAL</t>
  </si>
  <si>
    <t>PESQUISAR VENDAS</t>
  </si>
  <si>
    <t>HL9999</t>
  </si>
  <si>
    <t>Kleber</t>
  </si>
  <si>
    <t>Leal</t>
  </si>
  <si>
    <t>3/26/2020</t>
  </si>
  <si>
    <t>TOTAL DE VENDAS DE CADA PRODUTO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</si>
</sst>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  <numFmt numFmtId="166" formatCode="&quot;R$&quot;\ 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36"/>
      <color rgb="FF2F3640"/>
      <name val="Arial Black"/>
      <family val="2"/>
    </font>
    <font>
      <sz val="11"/>
      <color rgb="FF2F3640"/>
      <name val="Calibri"/>
      <family val="2"/>
      <scheme val="minor"/>
    </font>
    <font>
      <b/>
      <sz val="18"/>
      <color rgb="FFF5F6FA"/>
      <name val="Arial Black"/>
      <family val="2"/>
    </font>
    <font>
      <sz val="11"/>
      <color rgb="FFF5F6FA"/>
      <name val="Calibri"/>
      <family val="2"/>
      <scheme val="minor"/>
    </font>
    <font>
      <sz val="12"/>
      <color rgb="FFF5F6FA"/>
      <name val="Calibri"/>
      <family val="2"/>
      <scheme val="minor"/>
    </font>
    <font>
      <sz val="18"/>
      <color rgb="FFF5F6FA"/>
      <name val="Arial Black"/>
      <family val="2"/>
    </font>
    <font>
      <b/>
      <sz val="12"/>
      <color theme="1"/>
      <name val="Calibri"/>
      <family val="2"/>
      <scheme val="minor"/>
    </font>
    <font>
      <b/>
      <sz val="12"/>
      <color rgb="FFF5F6FA"/>
      <name val="Calibri"/>
      <family val="2"/>
      <scheme val="minor"/>
    </font>
    <font>
      <sz val="26"/>
      <color rgb="FF2F3640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BC531"/>
        <bgColor indexed="64"/>
      </patternFill>
    </fill>
    <fill>
      <patternFill patternType="solid">
        <fgColor rgb="FFE84118"/>
        <bgColor indexed="64"/>
      </patternFill>
    </fill>
    <fill>
      <patternFill patternType="solid">
        <fgColor rgb="FFF5F6FA"/>
        <bgColor indexed="64"/>
      </patternFill>
    </fill>
    <fill>
      <patternFill patternType="solid">
        <fgColor rgb="FF0097E6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1" xfId="0" applyFont="1" applyBorder="1"/>
    <xf numFmtId="164" fontId="0" fillId="0" borderId="1" xfId="1" applyNumberFormat="1" applyFont="1" applyBorder="1"/>
    <xf numFmtId="14" fontId="0" fillId="0" borderId="1" xfId="0" applyNumberFormat="1" applyBorder="1"/>
    <xf numFmtId="8" fontId="0" fillId="0" borderId="1" xfId="0" applyNumberFormat="1" applyBorder="1"/>
    <xf numFmtId="0" fontId="0" fillId="0" borderId="1" xfId="0" quotePrefix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2" xfId="0" applyNumberFormat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14" fontId="3" fillId="0" borderId="0" xfId="0" applyNumberFormat="1" applyFont="1" applyFill="1" applyBorder="1" applyAlignment="1">
      <alignment vertical="center"/>
    </xf>
    <xf numFmtId="44" fontId="3" fillId="0" borderId="0" xfId="1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4" fontId="0" fillId="0" borderId="0" xfId="1" applyFont="1" applyAlignment="1">
      <alignment horizontal="center"/>
    </xf>
    <xf numFmtId="44" fontId="2" fillId="2" borderId="1" xfId="1" applyFont="1" applyFill="1" applyBorder="1" applyAlignment="1">
      <alignment horizontal="center"/>
    </xf>
    <xf numFmtId="166" fontId="0" fillId="0" borderId="1" xfId="1" applyNumberFormat="1" applyFont="1" applyBorder="1" applyAlignment="1">
      <alignment horizontal="right"/>
    </xf>
    <xf numFmtId="0" fontId="0" fillId="0" borderId="0" xfId="0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4" fontId="10" fillId="5" borderId="1" xfId="0" applyNumberFormat="1" applyFont="1" applyFill="1" applyBorder="1" applyAlignment="1">
      <alignment horizontal="center" vertical="center"/>
    </xf>
    <xf numFmtId="166" fontId="10" fillId="5" borderId="1" xfId="0" applyNumberFormat="1" applyFont="1" applyFill="1" applyBorder="1" applyAlignment="1">
      <alignment horizontal="center" vertical="center"/>
    </xf>
    <xf numFmtId="0" fontId="0" fillId="0" borderId="1" xfId="0" quotePrefix="1" applyFont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1"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2F3640"/>
      <color rgb="FFFBC531"/>
      <color rgb="FFF5F6FA"/>
      <color rgb="FFE84118"/>
      <color rgb="FF0097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23</xdr:row>
      <xdr:rowOff>95249</xdr:rowOff>
    </xdr:from>
    <xdr:to>
      <xdr:col>18</xdr:col>
      <xdr:colOff>9525</xdr:colOff>
      <xdr:row>25</xdr:row>
      <xdr:rowOff>123824</xdr:rowOff>
    </xdr:to>
    <xdr:sp macro="[0]!OPEN_FORM" textlink="">
      <xdr:nvSpPr>
        <xdr:cNvPr id="4" name="Retângulo 3">
          <a:extLst>
            <a:ext uri="{FF2B5EF4-FFF2-40B4-BE49-F238E27FC236}">
              <a16:creationId xmlns:a16="http://schemas.microsoft.com/office/drawing/2014/main" id="{53FFD0ED-3354-46BD-9B1F-5BB5F361FCFC}"/>
            </a:ext>
          </a:extLst>
        </xdr:cNvPr>
        <xdr:cNvSpPr/>
      </xdr:nvSpPr>
      <xdr:spPr>
        <a:xfrm>
          <a:off x="7324725" y="4476749"/>
          <a:ext cx="3657600" cy="409575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rgbClr val="2F3640"/>
              </a:solidFill>
              <a:latin typeface="Arial Black" panose="020B0A04020102020204" pitchFamily="34" charset="0"/>
            </a:rPr>
            <a:t>CADASTRAR</a:t>
          </a:r>
          <a:r>
            <a:rPr lang="pt-BR" sz="1800" b="1" baseline="0">
              <a:solidFill>
                <a:srgbClr val="2F3640"/>
              </a:solidFill>
              <a:latin typeface="Arial Black" panose="020B0A04020102020204" pitchFamily="34" charset="0"/>
            </a:rPr>
            <a:t> NOVA VENDA</a:t>
          </a:r>
        </a:p>
      </xdr:txBody>
    </xdr:sp>
    <xdr:clientData/>
  </xdr:twoCellAnchor>
  <xdr:twoCellAnchor>
    <xdr:from>
      <xdr:col>5</xdr:col>
      <xdr:colOff>114300</xdr:colOff>
      <xdr:row>3</xdr:row>
      <xdr:rowOff>123825</xdr:rowOff>
    </xdr:from>
    <xdr:to>
      <xdr:col>25</xdr:col>
      <xdr:colOff>95250</xdr:colOff>
      <xdr:row>40</xdr:row>
      <xdr:rowOff>152400</xdr:rowOff>
    </xdr:to>
    <xdr:sp macro="" textlink="">
      <xdr:nvSpPr>
        <xdr:cNvPr id="10" name="Fluxograma: Processo Alternativo 9">
          <a:extLst>
            <a:ext uri="{FF2B5EF4-FFF2-40B4-BE49-F238E27FC236}">
              <a16:creationId xmlns:a16="http://schemas.microsoft.com/office/drawing/2014/main" id="{B6FDE052-ECE1-4AEE-B1F2-70B4B0110C47}"/>
            </a:ext>
          </a:extLst>
        </xdr:cNvPr>
        <xdr:cNvSpPr/>
      </xdr:nvSpPr>
      <xdr:spPr>
        <a:xfrm>
          <a:off x="3162300" y="695325"/>
          <a:ext cx="12172950" cy="7077075"/>
        </a:xfrm>
        <a:prstGeom prst="flowChartAlternateProcess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6BF3-52AC-4B20-9691-AEEA9887E394}">
  <sheetPr codeName="Planilha2"/>
  <dimension ref="I7:V38"/>
  <sheetViews>
    <sheetView showGridLines="0" showRowColHeaders="0" tabSelected="1" topLeftCell="A2" workbookViewId="0">
      <selection activeCell="AC14" sqref="AC14"/>
    </sheetView>
  </sheetViews>
  <sheetFormatPr defaultRowHeight="15" x14ac:dyDescent="0.25"/>
  <sheetData>
    <row r="7" spans="9:22" x14ac:dyDescent="0.25">
      <c r="I7" s="20" t="s">
        <v>308</v>
      </c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</row>
    <row r="8" spans="9:22" x14ac:dyDescent="0.25"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9:22" x14ac:dyDescent="0.25"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</row>
    <row r="11" spans="9:22" x14ac:dyDescent="0.25">
      <c r="K11" s="25" t="s">
        <v>314</v>
      </c>
      <c r="L11" s="26"/>
      <c r="M11" s="26"/>
      <c r="N11" s="26"/>
      <c r="O11" s="26"/>
      <c r="P11" s="26"/>
      <c r="Q11" s="26"/>
      <c r="R11" s="26"/>
      <c r="S11" s="26"/>
      <c r="T11" s="26"/>
    </row>
    <row r="12" spans="9:22" x14ac:dyDescent="0.25">
      <c r="K12" s="26"/>
      <c r="L12" s="26"/>
      <c r="M12" s="26"/>
      <c r="N12" s="26"/>
      <c r="O12" s="26"/>
      <c r="P12" s="26"/>
      <c r="Q12" s="26"/>
      <c r="R12" s="26"/>
      <c r="S12" s="26"/>
      <c r="T12" s="26"/>
    </row>
    <row r="13" spans="9:22" x14ac:dyDescent="0.25">
      <c r="K13" s="26"/>
      <c r="L13" s="26"/>
      <c r="M13" s="26"/>
      <c r="N13" s="26"/>
      <c r="O13" s="26"/>
      <c r="P13" s="26"/>
      <c r="Q13" s="26"/>
      <c r="R13" s="26"/>
      <c r="S13" s="26"/>
      <c r="T13" s="26"/>
    </row>
    <row r="15" spans="9:22" x14ac:dyDescent="0.25">
      <c r="N15" s="22" t="s">
        <v>309</v>
      </c>
      <c r="O15" s="23"/>
      <c r="P15" s="23"/>
      <c r="Q15" s="23"/>
    </row>
    <row r="16" spans="9:22" x14ac:dyDescent="0.25">
      <c r="N16" s="23"/>
      <c r="O16" s="23"/>
      <c r="P16" s="23"/>
      <c r="Q16" s="23"/>
    </row>
    <row r="17" spans="9:22" x14ac:dyDescent="0.25">
      <c r="N17" s="24" t="s">
        <v>315</v>
      </c>
      <c r="O17" s="24"/>
      <c r="P17" s="24"/>
      <c r="Q17" s="24"/>
    </row>
    <row r="19" spans="9:22" x14ac:dyDescent="0.25">
      <c r="I19" s="32" t="s">
        <v>302</v>
      </c>
      <c r="J19" s="33"/>
      <c r="K19" s="32" t="s">
        <v>311</v>
      </c>
      <c r="L19" s="35"/>
      <c r="M19" s="32" t="s">
        <v>312</v>
      </c>
      <c r="N19" s="32"/>
      <c r="O19" s="27"/>
      <c r="P19" s="27"/>
      <c r="Q19" s="32" t="s">
        <v>305</v>
      </c>
      <c r="R19" s="35"/>
      <c r="S19" s="32" t="s">
        <v>301</v>
      </c>
      <c r="T19" s="32"/>
      <c r="U19" s="32" t="s">
        <v>313</v>
      </c>
      <c r="V19" s="32"/>
    </row>
    <row r="20" spans="9:22" x14ac:dyDescent="0.25">
      <c r="I20" s="33"/>
      <c r="J20" s="33"/>
      <c r="K20" s="35"/>
      <c r="L20" s="35"/>
      <c r="M20" s="32"/>
      <c r="N20" s="32"/>
      <c r="O20" s="27"/>
      <c r="P20" s="27"/>
      <c r="Q20" s="35"/>
      <c r="R20" s="35"/>
      <c r="S20" s="32"/>
      <c r="T20" s="32"/>
      <c r="U20" s="32"/>
      <c r="V20" s="32"/>
    </row>
    <row r="21" spans="9:22" x14ac:dyDescent="0.25">
      <c r="I21" s="34" t="str">
        <f>VLOOKUP(N17,Dados!A:V,2,0)</f>
        <v>Câmera</v>
      </c>
      <c r="J21" s="34"/>
      <c r="K21" s="34">
        <f>VLOOKUP(N17,Dados!A:V,3,0)</f>
        <v>6</v>
      </c>
      <c r="L21" s="34"/>
      <c r="M21" s="34" t="str">
        <f>VLOOKUP(N17,Dados!A:V,6,0)</f>
        <v>Kleber Leal</v>
      </c>
      <c r="N21" s="34"/>
      <c r="O21" s="27"/>
      <c r="P21" s="27"/>
      <c r="Q21" s="36" t="str">
        <f>VLOOKUP(N17,Dados!A:V,7,0)</f>
        <v>3/26/2020</v>
      </c>
      <c r="R21" s="36"/>
      <c r="S21" s="34" t="str">
        <f>VLOOKUP(N17,Dados!A:V,8,0)</f>
        <v>Rio de Janeiro</v>
      </c>
      <c r="T21" s="34"/>
      <c r="U21" s="37">
        <f>VLOOKUP(N17,Dados!A:V,10,0)</f>
        <v>12600</v>
      </c>
      <c r="V21" s="37"/>
    </row>
    <row r="22" spans="9:22" x14ac:dyDescent="0.25">
      <c r="I22" s="34"/>
      <c r="J22" s="34"/>
      <c r="K22" s="34"/>
      <c r="L22" s="34"/>
      <c r="M22" s="34"/>
      <c r="N22" s="34"/>
      <c r="O22" s="27"/>
      <c r="P22" s="27"/>
      <c r="Q22" s="36"/>
      <c r="R22" s="36"/>
      <c r="S22" s="34"/>
      <c r="T22" s="34"/>
      <c r="U22" s="37"/>
      <c r="V22" s="37"/>
    </row>
    <row r="23" spans="9:22" x14ac:dyDescent="0.25">
      <c r="M23" s="31"/>
      <c r="N23" s="31"/>
    </row>
    <row r="29" spans="9:22" x14ac:dyDescent="0.25">
      <c r="I29" s="39" t="s">
        <v>319</v>
      </c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  <row r="30" spans="9:22" x14ac:dyDescent="0.25"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</row>
    <row r="31" spans="9:22" x14ac:dyDescent="0.25"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</row>
    <row r="35" spans="9:22" x14ac:dyDescent="0.25">
      <c r="I35" s="32" t="s">
        <v>20</v>
      </c>
      <c r="J35" s="33"/>
      <c r="K35" s="32" t="s">
        <v>22</v>
      </c>
      <c r="L35" s="35"/>
      <c r="M35" s="32" t="s">
        <v>1</v>
      </c>
      <c r="N35" s="32"/>
      <c r="O35" s="27"/>
      <c r="P35" s="27"/>
      <c r="Q35" s="32" t="s">
        <v>4</v>
      </c>
      <c r="R35" s="35"/>
      <c r="S35" s="32" t="s">
        <v>2</v>
      </c>
      <c r="T35" s="32"/>
      <c r="U35" s="32" t="s">
        <v>3</v>
      </c>
      <c r="V35" s="32"/>
    </row>
    <row r="36" spans="9:22" x14ac:dyDescent="0.25">
      <c r="I36" s="33"/>
      <c r="J36" s="33"/>
      <c r="K36" s="35"/>
      <c r="L36" s="35"/>
      <c r="M36" s="32"/>
      <c r="N36" s="32"/>
      <c r="O36" s="27"/>
      <c r="P36" s="27"/>
      <c r="Q36" s="35"/>
      <c r="R36" s="35"/>
      <c r="S36" s="32"/>
      <c r="T36" s="32"/>
      <c r="U36" s="32"/>
      <c r="V36" s="32"/>
    </row>
    <row r="37" spans="9:22" x14ac:dyDescent="0.25">
      <c r="I37" s="37">
        <f>SUMIF(Dados!B:B,I35,Dados!J:J)</f>
        <v>1128900</v>
      </c>
      <c r="J37" s="37"/>
      <c r="K37" s="37">
        <f>SUMIF(Dados!B:B,K35,Dados!J:J)</f>
        <v>295800</v>
      </c>
      <c r="L37" s="37"/>
      <c r="M37" s="37">
        <f>SUMIF(Dados!B:B,M35,Dados!J:J)</f>
        <v>392500</v>
      </c>
      <c r="N37" s="37"/>
      <c r="O37" s="27"/>
      <c r="P37" s="27"/>
      <c r="Q37" s="37">
        <f>SUMIF(Dados!B:B,Q35,Dados!J:J)</f>
        <v>168000</v>
      </c>
      <c r="R37" s="37"/>
      <c r="S37" s="37">
        <f>SUMIF(Dados!B:B,S35,Dados!J:J)</f>
        <v>121600</v>
      </c>
      <c r="T37" s="37"/>
      <c r="U37" s="37">
        <f>SUMIF(Dados!B:B,U35,Dados!J:J)</f>
        <v>79800</v>
      </c>
      <c r="V37" s="37"/>
    </row>
    <row r="38" spans="9:22" x14ac:dyDescent="0.25">
      <c r="I38" s="37"/>
      <c r="J38" s="37"/>
      <c r="K38" s="37"/>
      <c r="L38" s="37"/>
      <c r="M38" s="37"/>
      <c r="N38" s="37"/>
      <c r="O38" s="27"/>
      <c r="P38" s="27"/>
      <c r="Q38" s="37"/>
      <c r="R38" s="37"/>
      <c r="S38" s="37"/>
      <c r="T38" s="37"/>
      <c r="U38" s="37"/>
      <c r="V38" s="37"/>
    </row>
  </sheetData>
  <mergeCells count="31">
    <mergeCell ref="U35:V36"/>
    <mergeCell ref="I37:J38"/>
    <mergeCell ref="K37:L38"/>
    <mergeCell ref="M37:N38"/>
    <mergeCell ref="Q37:R38"/>
    <mergeCell ref="S37:T38"/>
    <mergeCell ref="U37:V38"/>
    <mergeCell ref="Q19:R20"/>
    <mergeCell ref="I21:J22"/>
    <mergeCell ref="Q21:R22"/>
    <mergeCell ref="I29:V31"/>
    <mergeCell ref="I35:J36"/>
    <mergeCell ref="K35:L36"/>
    <mergeCell ref="M35:N36"/>
    <mergeCell ref="O35:P38"/>
    <mergeCell ref="Q35:R36"/>
    <mergeCell ref="S35:T36"/>
    <mergeCell ref="S21:T22"/>
    <mergeCell ref="U21:V22"/>
    <mergeCell ref="I7:V9"/>
    <mergeCell ref="K11:T13"/>
    <mergeCell ref="N15:Q16"/>
    <mergeCell ref="N17:Q17"/>
    <mergeCell ref="I19:J20"/>
    <mergeCell ref="O19:P22"/>
    <mergeCell ref="K19:L20"/>
    <mergeCell ref="M19:N20"/>
    <mergeCell ref="S19:T20"/>
    <mergeCell ref="U19:V20"/>
    <mergeCell ref="K21:L22"/>
    <mergeCell ref="M21:N22"/>
  </mergeCells>
  <dataValidations disablePrompts="1" count="1">
    <dataValidation type="list" allowBlank="1" showInputMessage="1" showErrorMessage="1" sqref="N17:Q17" xr:uid="{741F9612-8712-4819-949B-BA80670B33AB}">
      <formula1>csku</formula1>
    </dataValidation>
  </dataValidations>
  <pageMargins left="0.511811024" right="0.511811024" top="0.78740157499999996" bottom="0.78740157499999996" header="0.31496062000000002" footer="0.31496062000000002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DC5ED-0388-489C-863F-18C0612E36E8}">
  <sheetPr codeName="Planilha1"/>
  <dimension ref="A1:R251"/>
  <sheetViews>
    <sheetView zoomScaleNormal="100" workbookViewId="0">
      <selection activeCell="J8" sqref="J8"/>
    </sheetView>
  </sheetViews>
  <sheetFormatPr defaultRowHeight="15" x14ac:dyDescent="0.25"/>
  <cols>
    <col min="1" max="2" width="20" customWidth="1"/>
    <col min="3" max="3" width="21.5703125" style="6" customWidth="1"/>
    <col min="4" max="5" width="20" customWidth="1"/>
    <col min="6" max="6" width="20" style="7" customWidth="1"/>
    <col min="7" max="8" width="20" customWidth="1"/>
    <col min="9" max="9" width="19.42578125" customWidth="1"/>
    <col min="10" max="10" width="19.140625" style="28" customWidth="1"/>
    <col min="11" max="11" width="13.85546875" style="6" customWidth="1"/>
    <col min="12" max="12" width="15.85546875" style="6" customWidth="1"/>
    <col min="13" max="13" width="11.7109375" customWidth="1"/>
    <col min="14" max="14" width="14.85546875" customWidth="1"/>
    <col min="15" max="15" width="11.85546875" customWidth="1"/>
    <col min="16" max="16" width="12.85546875" customWidth="1"/>
  </cols>
  <sheetData>
    <row r="1" spans="1:18" x14ac:dyDescent="0.25">
      <c r="A1" s="11" t="s">
        <v>5</v>
      </c>
      <c r="B1" s="11" t="s">
        <v>302</v>
      </c>
      <c r="C1" s="11" t="s">
        <v>307</v>
      </c>
      <c r="D1" s="11" t="s">
        <v>303</v>
      </c>
      <c r="E1" s="11" t="s">
        <v>304</v>
      </c>
      <c r="F1" s="11" t="s">
        <v>310</v>
      </c>
      <c r="G1" s="11" t="s">
        <v>305</v>
      </c>
      <c r="H1" s="11" t="s">
        <v>301</v>
      </c>
      <c r="I1" s="11" t="s">
        <v>306</v>
      </c>
      <c r="J1" s="29" t="s">
        <v>313</v>
      </c>
    </row>
    <row r="2" spans="1:18" x14ac:dyDescent="0.25">
      <c r="A2" s="1"/>
      <c r="B2" s="2" t="s">
        <v>20</v>
      </c>
      <c r="C2" s="38">
        <v>5</v>
      </c>
      <c r="D2" s="5" t="s">
        <v>27</v>
      </c>
      <c r="E2" s="5" t="s">
        <v>28</v>
      </c>
      <c r="F2" s="10" t="str">
        <f t="shared" ref="F2:F64" si="0">CONCATENATE(D2, " ",E2)</f>
        <v>Clara Bruno</v>
      </c>
      <c r="G2" s="8">
        <v>43289</v>
      </c>
      <c r="H2" s="3" t="s">
        <v>18</v>
      </c>
      <c r="I2" s="4">
        <v>5300</v>
      </c>
      <c r="J2" s="30">
        <f t="shared" ref="J2:J64" si="1">PRODUCT(I2,C2)</f>
        <v>26500</v>
      </c>
    </row>
    <row r="3" spans="1:18" x14ac:dyDescent="0.25">
      <c r="A3" s="1" t="s">
        <v>21</v>
      </c>
      <c r="B3" s="2" t="s">
        <v>22</v>
      </c>
      <c r="C3" s="38">
        <v>4</v>
      </c>
      <c r="D3" s="5" t="s">
        <v>29</v>
      </c>
      <c r="E3" s="5" t="s">
        <v>30</v>
      </c>
      <c r="F3" s="10" t="str">
        <f t="shared" si="0"/>
        <v>Eduardo Pacheco</v>
      </c>
      <c r="G3" s="8">
        <v>43453</v>
      </c>
      <c r="H3" s="3" t="s">
        <v>18</v>
      </c>
      <c r="I3" s="4">
        <v>3400</v>
      </c>
      <c r="J3" s="30">
        <f t="shared" si="1"/>
        <v>13600</v>
      </c>
    </row>
    <row r="4" spans="1:18" ht="15" customHeight="1" x14ac:dyDescent="0.25">
      <c r="A4" s="1" t="s">
        <v>19</v>
      </c>
      <c r="B4" s="2" t="s">
        <v>20</v>
      </c>
      <c r="C4" s="38">
        <v>4</v>
      </c>
      <c r="D4" s="5" t="s">
        <v>31</v>
      </c>
      <c r="E4" s="5" t="s">
        <v>32</v>
      </c>
      <c r="F4" s="10" t="str">
        <f t="shared" si="0"/>
        <v>Sarah Souza</v>
      </c>
      <c r="G4" s="8">
        <v>43145</v>
      </c>
      <c r="H4" s="3" t="s">
        <v>13</v>
      </c>
      <c r="I4" s="4">
        <v>5300</v>
      </c>
      <c r="J4" s="30">
        <f t="shared" si="1"/>
        <v>21200</v>
      </c>
      <c r="K4" s="13"/>
      <c r="L4" s="13"/>
      <c r="M4" s="13"/>
      <c r="N4" s="13"/>
      <c r="O4" s="13"/>
      <c r="P4" s="13"/>
      <c r="Q4" s="13"/>
      <c r="R4" s="13"/>
    </row>
    <row r="5" spans="1:18" x14ac:dyDescent="0.25">
      <c r="A5" s="1" t="s">
        <v>14</v>
      </c>
      <c r="B5" s="2" t="s">
        <v>3</v>
      </c>
      <c r="C5" s="38">
        <v>3</v>
      </c>
      <c r="D5" s="5" t="s">
        <v>33</v>
      </c>
      <c r="E5" s="5" t="s">
        <v>34</v>
      </c>
      <c r="F5" s="10" t="str">
        <f t="shared" si="0"/>
        <v>Alexandre Rodriguez</v>
      </c>
      <c r="G5" s="8">
        <v>43240</v>
      </c>
      <c r="H5" s="3" t="s">
        <v>13</v>
      </c>
      <c r="I5" s="4">
        <v>1400</v>
      </c>
      <c r="J5" s="30">
        <f t="shared" si="1"/>
        <v>4200</v>
      </c>
      <c r="K5" s="13"/>
      <c r="L5" s="13"/>
      <c r="M5" s="13"/>
      <c r="N5" s="13"/>
      <c r="O5" s="13"/>
      <c r="P5" s="13"/>
      <c r="Q5" s="13"/>
      <c r="R5" s="13"/>
    </row>
    <row r="6" spans="1:18" x14ac:dyDescent="0.25">
      <c r="A6" s="1" t="s">
        <v>15</v>
      </c>
      <c r="B6" s="2" t="s">
        <v>2</v>
      </c>
      <c r="C6" s="38">
        <v>2</v>
      </c>
      <c r="D6" s="5" t="s">
        <v>35</v>
      </c>
      <c r="E6" s="5" t="s">
        <v>36</v>
      </c>
      <c r="F6" s="10" t="str">
        <f t="shared" si="0"/>
        <v>Thays Castro</v>
      </c>
      <c r="G6" s="8">
        <v>43166</v>
      </c>
      <c r="H6" s="3" t="s">
        <v>9</v>
      </c>
      <c r="I6" s="4">
        <v>1600</v>
      </c>
      <c r="J6" s="30">
        <f t="shared" si="1"/>
        <v>3200</v>
      </c>
      <c r="K6" s="13"/>
      <c r="L6" s="13"/>
      <c r="M6" s="13"/>
      <c r="N6" s="13"/>
      <c r="O6" s="13"/>
      <c r="P6" s="13"/>
      <c r="Q6" s="13"/>
      <c r="R6" s="13"/>
    </row>
    <row r="7" spans="1:18" x14ac:dyDescent="0.25">
      <c r="A7" s="1" t="s">
        <v>16</v>
      </c>
      <c r="B7" s="2" t="s">
        <v>1</v>
      </c>
      <c r="C7" s="38">
        <v>4</v>
      </c>
      <c r="D7" s="5" t="s">
        <v>37</v>
      </c>
      <c r="E7" s="5" t="s">
        <v>38</v>
      </c>
      <c r="F7" s="10" t="str">
        <f t="shared" si="0"/>
        <v>Jessica Cordovil</v>
      </c>
      <c r="G7" s="8">
        <v>43142</v>
      </c>
      <c r="H7" s="3" t="s">
        <v>6</v>
      </c>
      <c r="I7" s="4">
        <v>2500</v>
      </c>
      <c r="J7" s="30">
        <f t="shared" si="1"/>
        <v>10000</v>
      </c>
      <c r="K7" s="14"/>
      <c r="L7" s="14"/>
      <c r="M7" s="15"/>
      <c r="N7" s="15"/>
      <c r="O7" s="15"/>
      <c r="P7" s="15"/>
      <c r="Q7" s="15"/>
      <c r="R7" s="15"/>
    </row>
    <row r="8" spans="1:18" x14ac:dyDescent="0.25">
      <c r="A8" s="1" t="s">
        <v>315</v>
      </c>
      <c r="B8" s="2" t="s">
        <v>4</v>
      </c>
      <c r="C8" s="38">
        <v>6</v>
      </c>
      <c r="D8" s="5" t="s">
        <v>316</v>
      </c>
      <c r="E8" s="5" t="s">
        <v>317</v>
      </c>
      <c r="F8" s="10" t="str">
        <f t="shared" si="0"/>
        <v>Kleber Leal</v>
      </c>
      <c r="G8" s="8" t="s">
        <v>318</v>
      </c>
      <c r="H8" s="3" t="s">
        <v>6</v>
      </c>
      <c r="I8" s="4">
        <v>2100</v>
      </c>
      <c r="J8" s="30">
        <f t="shared" si="1"/>
        <v>12600</v>
      </c>
      <c r="K8" s="14"/>
      <c r="L8" s="14"/>
      <c r="M8" s="15"/>
      <c r="N8" s="15"/>
      <c r="O8" s="15"/>
      <c r="P8" s="15"/>
      <c r="Q8" s="15"/>
      <c r="R8" s="15"/>
    </row>
    <row r="9" spans="1:18" x14ac:dyDescent="0.25">
      <c r="A9" s="1" t="s">
        <v>19</v>
      </c>
      <c r="B9" s="2" t="s">
        <v>20</v>
      </c>
      <c r="C9" s="38">
        <v>3</v>
      </c>
      <c r="D9" s="5" t="s">
        <v>40</v>
      </c>
      <c r="E9" s="5" t="s">
        <v>41</v>
      </c>
      <c r="F9" s="10" t="str">
        <f t="shared" si="0"/>
        <v>Alon Palmeira</v>
      </c>
      <c r="G9" s="8">
        <v>43410</v>
      </c>
      <c r="H9" s="3" t="s">
        <v>13</v>
      </c>
      <c r="I9" s="4">
        <v>5300</v>
      </c>
      <c r="J9" s="30">
        <f t="shared" si="1"/>
        <v>15900</v>
      </c>
      <c r="K9" s="13"/>
      <c r="L9" s="13"/>
      <c r="M9" s="13"/>
      <c r="N9" s="13"/>
      <c r="O9" s="16"/>
      <c r="P9" s="13"/>
      <c r="Q9" s="13"/>
      <c r="R9" s="13"/>
    </row>
    <row r="10" spans="1:18" x14ac:dyDescent="0.25">
      <c r="A10" s="1" t="s">
        <v>19</v>
      </c>
      <c r="B10" s="2" t="s">
        <v>20</v>
      </c>
      <c r="C10" s="38">
        <v>2</v>
      </c>
      <c r="D10" s="5" t="s">
        <v>42</v>
      </c>
      <c r="E10" s="5" t="s">
        <v>43</v>
      </c>
      <c r="F10" s="10" t="str">
        <f t="shared" si="0"/>
        <v>Rafael Rocha</v>
      </c>
      <c r="G10" s="8">
        <v>43456</v>
      </c>
      <c r="H10" s="3" t="s">
        <v>18</v>
      </c>
      <c r="I10" s="4">
        <v>5300</v>
      </c>
      <c r="J10" s="30">
        <f t="shared" si="1"/>
        <v>10600</v>
      </c>
      <c r="K10" s="13"/>
      <c r="L10" s="13"/>
      <c r="M10" s="13"/>
      <c r="N10" s="13"/>
      <c r="O10" s="16"/>
      <c r="P10" s="13"/>
      <c r="Q10" s="13"/>
      <c r="R10" s="13"/>
    </row>
    <row r="11" spans="1:18" x14ac:dyDescent="0.25">
      <c r="A11" s="1" t="s">
        <v>19</v>
      </c>
      <c r="B11" s="2" t="s">
        <v>20</v>
      </c>
      <c r="C11" s="38">
        <v>2</v>
      </c>
      <c r="D11" s="5" t="s">
        <v>44</v>
      </c>
      <c r="E11" s="5" t="s">
        <v>45</v>
      </c>
      <c r="F11" s="10" t="str">
        <f t="shared" si="0"/>
        <v>Camilla Guimarães</v>
      </c>
      <c r="G11" s="8">
        <v>43377</v>
      </c>
      <c r="H11" s="3" t="s">
        <v>6</v>
      </c>
      <c r="I11" s="4">
        <v>5300</v>
      </c>
      <c r="J11" s="30">
        <f t="shared" si="1"/>
        <v>10600</v>
      </c>
      <c r="K11" s="17"/>
      <c r="L11" s="17"/>
      <c r="M11" s="17"/>
      <c r="N11" s="17"/>
      <c r="O11" s="18"/>
      <c r="P11" s="17"/>
      <c r="Q11" s="19"/>
      <c r="R11" s="19"/>
    </row>
    <row r="12" spans="1:18" x14ac:dyDescent="0.25">
      <c r="A12" s="1" t="s">
        <v>16</v>
      </c>
      <c r="B12" s="2" t="s">
        <v>1</v>
      </c>
      <c r="C12" s="38">
        <v>1</v>
      </c>
      <c r="D12" s="5" t="s">
        <v>46</v>
      </c>
      <c r="E12" s="5" t="s">
        <v>47</v>
      </c>
      <c r="F12" s="10" t="str">
        <f t="shared" si="0"/>
        <v>Daniel Monteiro</v>
      </c>
      <c r="G12" s="8">
        <v>43243</v>
      </c>
      <c r="H12" s="3" t="s">
        <v>12</v>
      </c>
      <c r="I12" s="4">
        <v>2500</v>
      </c>
      <c r="J12" s="30">
        <f t="shared" si="1"/>
        <v>2500</v>
      </c>
      <c r="K12" s="17"/>
      <c r="L12" s="17"/>
      <c r="M12" s="17"/>
      <c r="N12" s="17"/>
      <c r="O12" s="18"/>
      <c r="P12" s="17"/>
      <c r="Q12" s="19"/>
      <c r="R12" s="19"/>
    </row>
    <row r="13" spans="1:18" x14ac:dyDescent="0.25">
      <c r="A13" s="1" t="s">
        <v>16</v>
      </c>
      <c r="B13" s="2" t="s">
        <v>1</v>
      </c>
      <c r="C13" s="38">
        <v>4</v>
      </c>
      <c r="D13" s="5" t="s">
        <v>48</v>
      </c>
      <c r="E13" s="5" t="s">
        <v>49</v>
      </c>
      <c r="F13" s="10" t="str">
        <f t="shared" si="0"/>
        <v>Ylana Teraoka</v>
      </c>
      <c r="G13" s="8">
        <v>43274</v>
      </c>
      <c r="H13" s="3" t="s">
        <v>11</v>
      </c>
      <c r="I13" s="4">
        <v>2500</v>
      </c>
      <c r="J13" s="30">
        <f t="shared" si="1"/>
        <v>10000</v>
      </c>
    </row>
    <row r="14" spans="1:18" x14ac:dyDescent="0.25">
      <c r="A14" s="1" t="s">
        <v>15</v>
      </c>
      <c r="B14" s="2" t="s">
        <v>2</v>
      </c>
      <c r="C14" s="38">
        <v>2</v>
      </c>
      <c r="D14" s="5" t="s">
        <v>50</v>
      </c>
      <c r="E14" s="5" t="s">
        <v>51</v>
      </c>
      <c r="F14" s="10" t="str">
        <f t="shared" si="0"/>
        <v>Caio Ferreira</v>
      </c>
      <c r="G14" s="8">
        <v>43307</v>
      </c>
      <c r="H14" s="3" t="s">
        <v>18</v>
      </c>
      <c r="I14" s="4">
        <v>1600</v>
      </c>
      <c r="J14" s="30">
        <f t="shared" si="1"/>
        <v>3200</v>
      </c>
    </row>
    <row r="15" spans="1:18" ht="15" customHeight="1" x14ac:dyDescent="0.25">
      <c r="A15" s="1" t="s">
        <v>23</v>
      </c>
      <c r="B15" s="2" t="s">
        <v>0</v>
      </c>
      <c r="C15" s="38">
        <v>3</v>
      </c>
      <c r="D15" s="5" t="s">
        <v>52</v>
      </c>
      <c r="E15" s="5" t="s">
        <v>53</v>
      </c>
      <c r="F15" s="10" t="str">
        <f t="shared" si="0"/>
        <v>Mariana Freire</v>
      </c>
      <c r="G15" s="8">
        <v>43408</v>
      </c>
      <c r="H15" s="3" t="s">
        <v>18</v>
      </c>
      <c r="I15" s="4">
        <v>3500</v>
      </c>
      <c r="J15" s="30">
        <f t="shared" si="1"/>
        <v>10500</v>
      </c>
      <c r="K15" s="12"/>
      <c r="L15" s="12"/>
      <c r="M15" s="12"/>
      <c r="N15" s="12"/>
      <c r="O15" s="12"/>
      <c r="P15" s="12"/>
      <c r="Q15" s="12"/>
      <c r="R15" s="12"/>
    </row>
    <row r="16" spans="1:18" x14ac:dyDescent="0.25">
      <c r="A16" s="1" t="s">
        <v>16</v>
      </c>
      <c r="B16" s="2" t="s">
        <v>1</v>
      </c>
      <c r="C16" s="38">
        <v>2</v>
      </c>
      <c r="D16" s="5" t="s">
        <v>54</v>
      </c>
      <c r="E16" s="5" t="s">
        <v>55</v>
      </c>
      <c r="F16" s="10" t="str">
        <f t="shared" si="0"/>
        <v>Carolina Alfradique</v>
      </c>
      <c r="G16" s="8">
        <v>43156</v>
      </c>
      <c r="H16" s="3" t="s">
        <v>7</v>
      </c>
      <c r="I16" s="4">
        <v>2500</v>
      </c>
      <c r="J16" s="30">
        <f t="shared" si="1"/>
        <v>5000</v>
      </c>
      <c r="K16" s="12"/>
      <c r="L16" s="12"/>
      <c r="M16" s="12"/>
      <c r="N16" s="12"/>
      <c r="O16" s="12"/>
      <c r="P16" s="12"/>
      <c r="Q16" s="12"/>
      <c r="R16" s="12"/>
    </row>
    <row r="17" spans="1:18" x14ac:dyDescent="0.25">
      <c r="A17" s="1" t="s">
        <v>23</v>
      </c>
      <c r="B17" s="2" t="s">
        <v>0</v>
      </c>
      <c r="C17" s="38">
        <v>4</v>
      </c>
      <c r="D17" s="5" t="s">
        <v>56</v>
      </c>
      <c r="E17" s="5" t="s">
        <v>57</v>
      </c>
      <c r="F17" s="10" t="str">
        <f t="shared" si="0"/>
        <v>Leandro Rodrigues</v>
      </c>
      <c r="G17" s="8">
        <v>43318</v>
      </c>
      <c r="H17" s="3" t="s">
        <v>13</v>
      </c>
      <c r="I17" s="4">
        <v>3500</v>
      </c>
      <c r="J17" s="30">
        <f t="shared" si="1"/>
        <v>14000</v>
      </c>
      <c r="K17" s="12"/>
      <c r="L17" s="12"/>
      <c r="M17" s="12"/>
      <c r="N17" s="12"/>
      <c r="O17" s="12"/>
      <c r="P17" s="12"/>
      <c r="Q17" s="12"/>
      <c r="R17" s="12"/>
    </row>
    <row r="18" spans="1:18" x14ac:dyDescent="0.25">
      <c r="A18" s="1" t="s">
        <v>21</v>
      </c>
      <c r="B18" s="2" t="s">
        <v>22</v>
      </c>
      <c r="C18" s="38">
        <v>4</v>
      </c>
      <c r="D18" s="5" t="s">
        <v>58</v>
      </c>
      <c r="E18" s="5" t="s">
        <v>59</v>
      </c>
      <c r="F18" s="10" t="str">
        <f t="shared" si="0"/>
        <v>Elaine Santos</v>
      </c>
      <c r="G18" s="8">
        <v>43286</v>
      </c>
      <c r="H18" s="3" t="s">
        <v>12</v>
      </c>
      <c r="I18" s="4">
        <v>3400</v>
      </c>
      <c r="J18" s="30">
        <f t="shared" si="1"/>
        <v>13600</v>
      </c>
      <c r="K18" s="9"/>
    </row>
    <row r="19" spans="1:18" x14ac:dyDescent="0.25">
      <c r="A19" s="1" t="s">
        <v>14</v>
      </c>
      <c r="B19" s="2" t="s">
        <v>3</v>
      </c>
      <c r="C19" s="38">
        <v>2</v>
      </c>
      <c r="D19" s="5" t="s">
        <v>60</v>
      </c>
      <c r="E19" s="5" t="s">
        <v>39</v>
      </c>
      <c r="F19" s="10" t="str">
        <f t="shared" si="0"/>
        <v>Henrique Silva</v>
      </c>
      <c r="G19" s="8">
        <v>43317</v>
      </c>
      <c r="H19" s="3" t="s">
        <v>13</v>
      </c>
      <c r="I19" s="4">
        <v>1400</v>
      </c>
      <c r="J19" s="30">
        <f t="shared" si="1"/>
        <v>2800</v>
      </c>
      <c r="K19" s="9"/>
    </row>
    <row r="20" spans="1:18" x14ac:dyDescent="0.25">
      <c r="A20" s="1" t="s">
        <v>16</v>
      </c>
      <c r="B20" s="2" t="s">
        <v>1</v>
      </c>
      <c r="C20" s="38">
        <v>5</v>
      </c>
      <c r="D20" s="5" t="s">
        <v>61</v>
      </c>
      <c r="E20" s="5" t="s">
        <v>62</v>
      </c>
      <c r="F20" s="10" t="str">
        <f t="shared" si="0"/>
        <v>Katharina Barros</v>
      </c>
      <c r="G20" s="8">
        <v>43185</v>
      </c>
      <c r="H20" s="3" t="s">
        <v>6</v>
      </c>
      <c r="I20" s="4">
        <v>2500</v>
      </c>
      <c r="J20" s="30">
        <f t="shared" si="1"/>
        <v>12500</v>
      </c>
    </row>
    <row r="21" spans="1:18" x14ac:dyDescent="0.25">
      <c r="A21" s="1" t="s">
        <v>19</v>
      </c>
      <c r="B21" s="2" t="s">
        <v>20</v>
      </c>
      <c r="C21" s="38">
        <v>3</v>
      </c>
      <c r="D21" s="5" t="s">
        <v>63</v>
      </c>
      <c r="E21" s="5" t="s">
        <v>57</v>
      </c>
      <c r="F21" s="10" t="str">
        <f t="shared" si="0"/>
        <v>Lucas Rodrigues</v>
      </c>
      <c r="G21" s="8">
        <v>43381</v>
      </c>
      <c r="H21" s="3" t="s">
        <v>9</v>
      </c>
      <c r="I21" s="4">
        <v>5300</v>
      </c>
      <c r="J21" s="30">
        <f t="shared" si="1"/>
        <v>15900</v>
      </c>
    </row>
    <row r="22" spans="1:18" x14ac:dyDescent="0.25">
      <c r="A22" s="1" t="s">
        <v>23</v>
      </c>
      <c r="B22" s="2" t="s">
        <v>0</v>
      </c>
      <c r="C22" s="38">
        <v>5</v>
      </c>
      <c r="D22" s="5" t="s">
        <v>64</v>
      </c>
      <c r="E22" s="5" t="s">
        <v>65</v>
      </c>
      <c r="F22" s="10" t="str">
        <f t="shared" si="0"/>
        <v>Fillipe Almeida</v>
      </c>
      <c r="G22" s="8">
        <v>43440</v>
      </c>
      <c r="H22" s="3" t="s">
        <v>13</v>
      </c>
      <c r="I22" s="4">
        <v>3500</v>
      </c>
      <c r="J22" s="30">
        <f t="shared" si="1"/>
        <v>17500</v>
      </c>
    </row>
    <row r="23" spans="1:18" x14ac:dyDescent="0.25">
      <c r="A23" s="1" t="s">
        <v>15</v>
      </c>
      <c r="B23" s="2" t="s">
        <v>2</v>
      </c>
      <c r="C23" s="38">
        <v>5</v>
      </c>
      <c r="D23" s="5" t="s">
        <v>66</v>
      </c>
      <c r="E23" s="5" t="s">
        <v>67</v>
      </c>
      <c r="F23" s="10" t="str">
        <f t="shared" si="0"/>
        <v>Carla Zakhm</v>
      </c>
      <c r="G23" s="8">
        <v>43417</v>
      </c>
      <c r="H23" s="3" t="s">
        <v>10</v>
      </c>
      <c r="I23" s="4">
        <v>1600</v>
      </c>
      <c r="J23" s="30">
        <f t="shared" si="1"/>
        <v>8000</v>
      </c>
    </row>
    <row r="24" spans="1:18" x14ac:dyDescent="0.25">
      <c r="A24" s="1" t="s">
        <v>16</v>
      </c>
      <c r="B24" s="2" t="s">
        <v>1</v>
      </c>
      <c r="C24" s="38">
        <v>1</v>
      </c>
      <c r="D24" s="5" t="s">
        <v>68</v>
      </c>
      <c r="E24" s="5" t="s">
        <v>69</v>
      </c>
      <c r="F24" s="10" t="str">
        <f t="shared" si="0"/>
        <v>Danilo Rubim</v>
      </c>
      <c r="G24" s="8">
        <v>43151</v>
      </c>
      <c r="H24" s="3" t="s">
        <v>7</v>
      </c>
      <c r="I24" s="4">
        <v>2500</v>
      </c>
      <c r="J24" s="30">
        <f t="shared" si="1"/>
        <v>2500</v>
      </c>
    </row>
    <row r="25" spans="1:18" x14ac:dyDescent="0.25">
      <c r="A25" s="1" t="s">
        <v>19</v>
      </c>
      <c r="B25" s="2" t="s">
        <v>20</v>
      </c>
      <c r="C25" s="38">
        <v>4</v>
      </c>
      <c r="D25" s="5" t="s">
        <v>70</v>
      </c>
      <c r="E25" s="5" t="s">
        <v>71</v>
      </c>
      <c r="F25" s="10" t="str">
        <f t="shared" si="0"/>
        <v>Bianca Tatsch</v>
      </c>
      <c r="G25" s="8">
        <v>43383</v>
      </c>
      <c r="H25" s="3" t="s">
        <v>10</v>
      </c>
      <c r="I25" s="4">
        <v>5300</v>
      </c>
      <c r="J25" s="30">
        <f t="shared" si="1"/>
        <v>21200</v>
      </c>
    </row>
    <row r="26" spans="1:18" x14ac:dyDescent="0.25">
      <c r="A26" s="1" t="s">
        <v>19</v>
      </c>
      <c r="B26" s="2" t="s">
        <v>20</v>
      </c>
      <c r="C26" s="38">
        <v>5</v>
      </c>
      <c r="D26" s="5" t="s">
        <v>72</v>
      </c>
      <c r="E26" s="5" t="s">
        <v>73</v>
      </c>
      <c r="F26" s="10" t="str">
        <f t="shared" si="0"/>
        <v>Bernard Pedrosa</v>
      </c>
      <c r="G26" s="8">
        <v>43288</v>
      </c>
      <c r="H26" s="3" t="s">
        <v>7</v>
      </c>
      <c r="I26" s="4">
        <v>5300</v>
      </c>
      <c r="J26" s="30">
        <f t="shared" si="1"/>
        <v>26500</v>
      </c>
    </row>
    <row r="27" spans="1:18" x14ac:dyDescent="0.25">
      <c r="A27" s="1" t="s">
        <v>19</v>
      </c>
      <c r="B27" s="2" t="s">
        <v>20</v>
      </c>
      <c r="C27" s="38">
        <v>3</v>
      </c>
      <c r="D27" s="5" t="s">
        <v>24</v>
      </c>
      <c r="E27" s="5" t="s">
        <v>39</v>
      </c>
      <c r="F27" s="10" t="str">
        <f t="shared" si="0"/>
        <v>Gabriel Silva</v>
      </c>
      <c r="G27" s="8">
        <v>43333</v>
      </c>
      <c r="H27" s="3" t="s">
        <v>9</v>
      </c>
      <c r="I27" s="4">
        <v>5300</v>
      </c>
      <c r="J27" s="30">
        <f t="shared" si="1"/>
        <v>15900</v>
      </c>
    </row>
    <row r="28" spans="1:18" x14ac:dyDescent="0.25">
      <c r="A28" s="1" t="s">
        <v>15</v>
      </c>
      <c r="B28" s="2" t="s">
        <v>2</v>
      </c>
      <c r="C28" s="38">
        <v>1</v>
      </c>
      <c r="D28" s="5" t="s">
        <v>74</v>
      </c>
      <c r="E28" s="5" t="s">
        <v>75</v>
      </c>
      <c r="F28" s="10" t="str">
        <f t="shared" si="0"/>
        <v>Pedro Oliveira</v>
      </c>
      <c r="G28" s="8">
        <v>43451</v>
      </c>
      <c r="H28" s="3" t="s">
        <v>18</v>
      </c>
      <c r="I28" s="4">
        <v>1600</v>
      </c>
      <c r="J28" s="30">
        <f t="shared" si="1"/>
        <v>1600</v>
      </c>
    </row>
    <row r="29" spans="1:18" x14ac:dyDescent="0.25">
      <c r="A29" s="1" t="s">
        <v>17</v>
      </c>
      <c r="B29" s="2" t="s">
        <v>4</v>
      </c>
      <c r="C29" s="38">
        <v>4</v>
      </c>
      <c r="D29" s="5" t="s">
        <v>24</v>
      </c>
      <c r="E29" s="5" t="s">
        <v>76</v>
      </c>
      <c r="F29" s="10" t="str">
        <f t="shared" si="0"/>
        <v>Gabriel Puntel</v>
      </c>
      <c r="G29" s="8">
        <v>43370</v>
      </c>
      <c r="H29" s="3" t="s">
        <v>13</v>
      </c>
      <c r="I29" s="4">
        <v>2100</v>
      </c>
      <c r="J29" s="30">
        <f t="shared" si="1"/>
        <v>8400</v>
      </c>
    </row>
    <row r="30" spans="1:18" x14ac:dyDescent="0.25">
      <c r="A30" s="1" t="s">
        <v>19</v>
      </c>
      <c r="B30" s="2" t="s">
        <v>20</v>
      </c>
      <c r="C30" s="38">
        <v>5</v>
      </c>
      <c r="D30" s="5" t="s">
        <v>77</v>
      </c>
      <c r="E30" s="5" t="s">
        <v>59</v>
      </c>
      <c r="F30" s="10" t="str">
        <f t="shared" si="0"/>
        <v>Clarissa Santos</v>
      </c>
      <c r="G30" s="8">
        <v>43457</v>
      </c>
      <c r="H30" s="3" t="s">
        <v>13</v>
      </c>
      <c r="I30" s="4">
        <v>5300</v>
      </c>
      <c r="J30" s="30">
        <f t="shared" si="1"/>
        <v>26500</v>
      </c>
    </row>
    <row r="31" spans="1:18" x14ac:dyDescent="0.25">
      <c r="A31" s="1" t="s">
        <v>19</v>
      </c>
      <c r="B31" s="2" t="s">
        <v>20</v>
      </c>
      <c r="C31" s="38">
        <v>2</v>
      </c>
      <c r="D31" s="5" t="s">
        <v>68</v>
      </c>
      <c r="E31" s="5" t="s">
        <v>69</v>
      </c>
      <c r="F31" s="10" t="str">
        <f t="shared" si="0"/>
        <v>Danilo Rubim</v>
      </c>
      <c r="G31" s="8">
        <v>43424</v>
      </c>
      <c r="H31" s="3" t="s">
        <v>13</v>
      </c>
      <c r="I31" s="4">
        <v>5300</v>
      </c>
      <c r="J31" s="30">
        <f t="shared" si="1"/>
        <v>10600</v>
      </c>
    </row>
    <row r="32" spans="1:18" x14ac:dyDescent="0.25">
      <c r="A32" s="1" t="s">
        <v>14</v>
      </c>
      <c r="B32" s="2" t="s">
        <v>3</v>
      </c>
      <c r="C32" s="38">
        <v>1</v>
      </c>
      <c r="D32" s="5" t="s">
        <v>78</v>
      </c>
      <c r="E32" s="5" t="s">
        <v>79</v>
      </c>
      <c r="F32" s="10" t="str">
        <f t="shared" si="0"/>
        <v>Nathan Morelli</v>
      </c>
      <c r="G32" s="8">
        <v>43102</v>
      </c>
      <c r="H32" s="3" t="s">
        <v>13</v>
      </c>
      <c r="I32" s="4">
        <v>1400</v>
      </c>
      <c r="J32" s="30">
        <f t="shared" si="1"/>
        <v>1400</v>
      </c>
    </row>
    <row r="33" spans="1:10" x14ac:dyDescent="0.25">
      <c r="A33" s="1" t="s">
        <v>17</v>
      </c>
      <c r="B33" s="2" t="s">
        <v>4</v>
      </c>
      <c r="C33" s="38">
        <v>1</v>
      </c>
      <c r="D33" s="5" t="s">
        <v>80</v>
      </c>
      <c r="E33" s="5" t="s">
        <v>81</v>
      </c>
      <c r="F33" s="10" t="str">
        <f t="shared" si="0"/>
        <v>Rubens Netto</v>
      </c>
      <c r="G33" s="8">
        <v>43292</v>
      </c>
      <c r="H33" s="3" t="s">
        <v>11</v>
      </c>
      <c r="I33" s="4">
        <v>2100</v>
      </c>
      <c r="J33" s="30">
        <f t="shared" si="1"/>
        <v>2100</v>
      </c>
    </row>
    <row r="34" spans="1:10" x14ac:dyDescent="0.25">
      <c r="A34" s="1" t="s">
        <v>19</v>
      </c>
      <c r="B34" s="2" t="s">
        <v>20</v>
      </c>
      <c r="C34" s="38">
        <v>3</v>
      </c>
      <c r="D34" s="5" t="s">
        <v>82</v>
      </c>
      <c r="E34" s="5" t="s">
        <v>47</v>
      </c>
      <c r="F34" s="10" t="str">
        <f t="shared" si="0"/>
        <v>Guido Monteiro</v>
      </c>
      <c r="G34" s="8">
        <v>43208</v>
      </c>
      <c r="H34" s="3" t="s">
        <v>10</v>
      </c>
      <c r="I34" s="4">
        <v>5300</v>
      </c>
      <c r="J34" s="30">
        <f t="shared" si="1"/>
        <v>15900</v>
      </c>
    </row>
    <row r="35" spans="1:10" x14ac:dyDescent="0.25">
      <c r="A35" s="1" t="s">
        <v>14</v>
      </c>
      <c r="B35" s="2" t="s">
        <v>3</v>
      </c>
      <c r="C35" s="38">
        <v>4</v>
      </c>
      <c r="D35" s="5" t="s">
        <v>83</v>
      </c>
      <c r="E35" s="5" t="s">
        <v>84</v>
      </c>
      <c r="F35" s="10" t="str">
        <f t="shared" si="0"/>
        <v>Beatriz Li</v>
      </c>
      <c r="G35" s="8">
        <v>43447</v>
      </c>
      <c r="H35" s="3" t="s">
        <v>13</v>
      </c>
      <c r="I35" s="4">
        <v>1400</v>
      </c>
      <c r="J35" s="30">
        <f t="shared" si="1"/>
        <v>5600</v>
      </c>
    </row>
    <row r="36" spans="1:10" x14ac:dyDescent="0.25">
      <c r="A36" s="1" t="s">
        <v>15</v>
      </c>
      <c r="B36" s="2" t="s">
        <v>2</v>
      </c>
      <c r="C36" s="38">
        <v>1</v>
      </c>
      <c r="D36" s="5" t="s">
        <v>31</v>
      </c>
      <c r="E36" s="5" t="s">
        <v>32</v>
      </c>
      <c r="F36" s="10" t="str">
        <f t="shared" si="0"/>
        <v>Sarah Souza</v>
      </c>
      <c r="G36" s="8">
        <v>43103</v>
      </c>
      <c r="H36" s="3" t="s">
        <v>13</v>
      </c>
      <c r="I36" s="4">
        <v>1600</v>
      </c>
      <c r="J36" s="30">
        <f t="shared" si="1"/>
        <v>1600</v>
      </c>
    </row>
    <row r="37" spans="1:10" x14ac:dyDescent="0.25">
      <c r="A37" s="1" t="s">
        <v>23</v>
      </c>
      <c r="B37" s="2" t="s">
        <v>0</v>
      </c>
      <c r="C37" s="38">
        <v>5</v>
      </c>
      <c r="D37" s="5" t="s">
        <v>85</v>
      </c>
      <c r="E37" s="5" t="s">
        <v>86</v>
      </c>
      <c r="F37" s="10" t="str">
        <f t="shared" si="0"/>
        <v>João Aires</v>
      </c>
      <c r="G37" s="8">
        <v>43458</v>
      </c>
      <c r="H37" s="3" t="s">
        <v>13</v>
      </c>
      <c r="I37" s="4">
        <v>3500</v>
      </c>
      <c r="J37" s="30">
        <f t="shared" si="1"/>
        <v>17500</v>
      </c>
    </row>
    <row r="38" spans="1:10" x14ac:dyDescent="0.25">
      <c r="A38" s="1" t="s">
        <v>21</v>
      </c>
      <c r="B38" s="2" t="s">
        <v>22</v>
      </c>
      <c r="C38" s="38">
        <v>1</v>
      </c>
      <c r="D38" s="5" t="s">
        <v>87</v>
      </c>
      <c r="E38" s="5" t="s">
        <v>39</v>
      </c>
      <c r="F38" s="10" t="str">
        <f t="shared" si="0"/>
        <v>Rodrigo Silva</v>
      </c>
      <c r="G38" s="8">
        <v>43114</v>
      </c>
      <c r="H38" s="3" t="s">
        <v>6</v>
      </c>
      <c r="I38" s="4">
        <v>3400</v>
      </c>
      <c r="J38" s="30">
        <f t="shared" si="1"/>
        <v>3400</v>
      </c>
    </row>
    <row r="39" spans="1:10" x14ac:dyDescent="0.25">
      <c r="A39" s="1" t="s">
        <v>17</v>
      </c>
      <c r="B39" s="2" t="s">
        <v>4</v>
      </c>
      <c r="C39" s="38">
        <v>2</v>
      </c>
      <c r="D39" s="5" t="s">
        <v>24</v>
      </c>
      <c r="E39" s="5" t="s">
        <v>65</v>
      </c>
      <c r="F39" s="10" t="str">
        <f t="shared" si="0"/>
        <v>Gabriel Almeida</v>
      </c>
      <c r="G39" s="8">
        <v>43420</v>
      </c>
      <c r="H39" s="3" t="s">
        <v>8</v>
      </c>
      <c r="I39" s="4">
        <v>2100</v>
      </c>
      <c r="J39" s="30">
        <f t="shared" si="1"/>
        <v>4200</v>
      </c>
    </row>
    <row r="40" spans="1:10" x14ac:dyDescent="0.25">
      <c r="A40" s="1" t="s">
        <v>16</v>
      </c>
      <c r="B40" s="2" t="s">
        <v>1</v>
      </c>
      <c r="C40" s="38">
        <v>3</v>
      </c>
      <c r="D40" s="5" t="s">
        <v>88</v>
      </c>
      <c r="E40" s="5" t="s">
        <v>53</v>
      </c>
      <c r="F40" s="10" t="str">
        <f t="shared" si="0"/>
        <v>Júlio Freire</v>
      </c>
      <c r="G40" s="8">
        <v>43281</v>
      </c>
      <c r="H40" s="3" t="s">
        <v>6</v>
      </c>
      <c r="I40" s="4">
        <v>2500</v>
      </c>
      <c r="J40" s="30">
        <f t="shared" si="1"/>
        <v>7500</v>
      </c>
    </row>
    <row r="41" spans="1:10" x14ac:dyDescent="0.25">
      <c r="A41" s="1" t="s">
        <v>15</v>
      </c>
      <c r="B41" s="2" t="s">
        <v>2</v>
      </c>
      <c r="C41" s="38">
        <v>5</v>
      </c>
      <c r="D41" s="5" t="s">
        <v>87</v>
      </c>
      <c r="E41" s="5" t="s">
        <v>89</v>
      </c>
      <c r="F41" s="10" t="str">
        <f t="shared" si="0"/>
        <v>Rodrigo Alves</v>
      </c>
      <c r="G41" s="8">
        <v>43158</v>
      </c>
      <c r="H41" s="3" t="s">
        <v>8</v>
      </c>
      <c r="I41" s="4">
        <v>1600</v>
      </c>
      <c r="J41" s="30">
        <f t="shared" si="1"/>
        <v>8000</v>
      </c>
    </row>
    <row r="42" spans="1:10" x14ac:dyDescent="0.25">
      <c r="A42" s="1" t="s">
        <v>17</v>
      </c>
      <c r="B42" s="2" t="s">
        <v>4</v>
      </c>
      <c r="C42" s="38">
        <v>5</v>
      </c>
      <c r="D42" s="5" t="s">
        <v>90</v>
      </c>
      <c r="E42" s="5" t="s">
        <v>91</v>
      </c>
      <c r="F42" s="10" t="str">
        <f t="shared" si="0"/>
        <v>Paloma Sperandei</v>
      </c>
      <c r="G42" s="8">
        <v>43358</v>
      </c>
      <c r="H42" s="3" t="s">
        <v>11</v>
      </c>
      <c r="I42" s="4">
        <v>2100</v>
      </c>
      <c r="J42" s="30">
        <f t="shared" si="1"/>
        <v>10500</v>
      </c>
    </row>
    <row r="43" spans="1:10" x14ac:dyDescent="0.25">
      <c r="A43" s="1" t="s">
        <v>16</v>
      </c>
      <c r="B43" s="2" t="s">
        <v>1</v>
      </c>
      <c r="C43" s="38">
        <v>1</v>
      </c>
      <c r="D43" s="5" t="s">
        <v>29</v>
      </c>
      <c r="E43" s="5" t="s">
        <v>92</v>
      </c>
      <c r="F43" s="10" t="str">
        <f t="shared" si="0"/>
        <v>Eduardo Quindeler</v>
      </c>
      <c r="G43" s="8">
        <v>43301</v>
      </c>
      <c r="H43" s="3" t="s">
        <v>10</v>
      </c>
      <c r="I43" s="4">
        <v>2500</v>
      </c>
      <c r="J43" s="30">
        <f t="shared" si="1"/>
        <v>2500</v>
      </c>
    </row>
    <row r="44" spans="1:10" x14ac:dyDescent="0.25">
      <c r="A44" s="1" t="s">
        <v>19</v>
      </c>
      <c r="B44" s="2" t="s">
        <v>20</v>
      </c>
      <c r="C44" s="38">
        <v>5</v>
      </c>
      <c r="D44" s="5" t="s">
        <v>93</v>
      </c>
      <c r="E44" s="5" t="s">
        <v>94</v>
      </c>
      <c r="F44" s="10" t="str">
        <f t="shared" si="0"/>
        <v>Lenon Fernandes</v>
      </c>
      <c r="G44" s="8">
        <v>43190</v>
      </c>
      <c r="H44" s="3" t="s">
        <v>12</v>
      </c>
      <c r="I44" s="4">
        <v>5300</v>
      </c>
      <c r="J44" s="30">
        <f t="shared" si="1"/>
        <v>26500</v>
      </c>
    </row>
    <row r="45" spans="1:10" x14ac:dyDescent="0.25">
      <c r="A45" s="1" t="s">
        <v>23</v>
      </c>
      <c r="B45" s="2" t="s">
        <v>0</v>
      </c>
      <c r="C45" s="38">
        <v>2</v>
      </c>
      <c r="D45" s="5" t="s">
        <v>95</v>
      </c>
      <c r="E45" s="5" t="s">
        <v>96</v>
      </c>
      <c r="F45" s="10" t="str">
        <f t="shared" si="0"/>
        <v>Larissa Cruz</v>
      </c>
      <c r="G45" s="8">
        <v>43358</v>
      </c>
      <c r="H45" s="3" t="s">
        <v>10</v>
      </c>
      <c r="I45" s="4">
        <v>3500</v>
      </c>
      <c r="J45" s="30">
        <f t="shared" si="1"/>
        <v>7000</v>
      </c>
    </row>
    <row r="46" spans="1:10" x14ac:dyDescent="0.25">
      <c r="A46" s="1" t="s">
        <v>16</v>
      </c>
      <c r="B46" s="2" t="s">
        <v>1</v>
      </c>
      <c r="C46" s="38">
        <v>2</v>
      </c>
      <c r="D46" s="5" t="s">
        <v>97</v>
      </c>
      <c r="E46" s="5" t="s">
        <v>98</v>
      </c>
      <c r="F46" s="10" t="str">
        <f t="shared" si="0"/>
        <v>Guilherme Merotto</v>
      </c>
      <c r="G46" s="8">
        <v>43421</v>
      </c>
      <c r="H46" s="3" t="s">
        <v>13</v>
      </c>
      <c r="I46" s="4">
        <v>2500</v>
      </c>
      <c r="J46" s="30">
        <f t="shared" si="1"/>
        <v>5000</v>
      </c>
    </row>
    <row r="47" spans="1:10" x14ac:dyDescent="0.25">
      <c r="A47" s="1" t="s">
        <v>19</v>
      </c>
      <c r="B47" s="2" t="s">
        <v>20</v>
      </c>
      <c r="C47" s="38">
        <v>4</v>
      </c>
      <c r="D47" s="5" t="s">
        <v>99</v>
      </c>
      <c r="E47" s="5" t="s">
        <v>100</v>
      </c>
      <c r="F47" s="10" t="str">
        <f t="shared" si="0"/>
        <v>Myllena Carneiro</v>
      </c>
      <c r="G47" s="8">
        <v>43107</v>
      </c>
      <c r="H47" s="3" t="s">
        <v>13</v>
      </c>
      <c r="I47" s="4">
        <v>5300</v>
      </c>
      <c r="J47" s="30">
        <f t="shared" si="1"/>
        <v>21200</v>
      </c>
    </row>
    <row r="48" spans="1:10" x14ac:dyDescent="0.25">
      <c r="A48" s="1" t="s">
        <v>23</v>
      </c>
      <c r="B48" s="2" t="s">
        <v>0</v>
      </c>
      <c r="C48" s="38">
        <v>5</v>
      </c>
      <c r="D48" s="5" t="s">
        <v>101</v>
      </c>
      <c r="E48" s="5" t="s">
        <v>102</v>
      </c>
      <c r="F48" s="10" t="str">
        <f t="shared" si="0"/>
        <v>Breno Farias</v>
      </c>
      <c r="G48" s="8">
        <v>43275</v>
      </c>
      <c r="H48" s="3" t="s">
        <v>11</v>
      </c>
      <c r="I48" s="4">
        <v>3500</v>
      </c>
      <c r="J48" s="30">
        <f t="shared" si="1"/>
        <v>17500</v>
      </c>
    </row>
    <row r="49" spans="1:10" x14ac:dyDescent="0.25">
      <c r="A49" s="1" t="s">
        <v>14</v>
      </c>
      <c r="B49" s="2" t="s">
        <v>3</v>
      </c>
      <c r="C49" s="38">
        <v>1</v>
      </c>
      <c r="D49" s="5" t="s">
        <v>103</v>
      </c>
      <c r="E49" s="5" t="s">
        <v>57</v>
      </c>
      <c r="F49" s="10" t="str">
        <f t="shared" si="0"/>
        <v>Vivianne Rodrigues</v>
      </c>
      <c r="G49" s="8">
        <v>43323</v>
      </c>
      <c r="H49" s="3" t="s">
        <v>12</v>
      </c>
      <c r="I49" s="4">
        <v>1400</v>
      </c>
      <c r="J49" s="30">
        <f t="shared" si="1"/>
        <v>1400</v>
      </c>
    </row>
    <row r="50" spans="1:10" x14ac:dyDescent="0.25">
      <c r="A50" s="1" t="s">
        <v>19</v>
      </c>
      <c r="B50" s="2" t="s">
        <v>20</v>
      </c>
      <c r="C50" s="38">
        <v>4</v>
      </c>
      <c r="D50" s="5" t="s">
        <v>104</v>
      </c>
      <c r="E50" s="5" t="s">
        <v>105</v>
      </c>
      <c r="F50" s="10" t="str">
        <f t="shared" si="0"/>
        <v>Ulisses Arruda</v>
      </c>
      <c r="G50" s="8">
        <v>43225</v>
      </c>
      <c r="H50" s="3" t="s">
        <v>8</v>
      </c>
      <c r="I50" s="4">
        <v>5300</v>
      </c>
      <c r="J50" s="30">
        <f t="shared" si="1"/>
        <v>21200</v>
      </c>
    </row>
    <row r="51" spans="1:10" x14ac:dyDescent="0.25">
      <c r="A51" s="1" t="s">
        <v>16</v>
      </c>
      <c r="B51" s="2" t="s">
        <v>1</v>
      </c>
      <c r="C51" s="38">
        <v>2</v>
      </c>
      <c r="D51" s="5" t="s">
        <v>106</v>
      </c>
      <c r="E51" s="5" t="s">
        <v>107</v>
      </c>
      <c r="F51" s="10" t="str">
        <f t="shared" si="0"/>
        <v>Lorena Kohn</v>
      </c>
      <c r="G51" s="8">
        <v>43312</v>
      </c>
      <c r="H51" s="3" t="s">
        <v>11</v>
      </c>
      <c r="I51" s="4">
        <v>2500</v>
      </c>
      <c r="J51" s="30">
        <f t="shared" si="1"/>
        <v>5000</v>
      </c>
    </row>
    <row r="52" spans="1:10" x14ac:dyDescent="0.25">
      <c r="A52" s="1" t="s">
        <v>19</v>
      </c>
      <c r="B52" s="2" t="s">
        <v>20</v>
      </c>
      <c r="C52" s="38">
        <v>3</v>
      </c>
      <c r="D52" s="5" t="s">
        <v>108</v>
      </c>
      <c r="E52" s="5" t="s">
        <v>109</v>
      </c>
      <c r="F52" s="10" t="str">
        <f t="shared" si="0"/>
        <v>Raphael Guedes</v>
      </c>
      <c r="G52" s="8">
        <v>43309</v>
      </c>
      <c r="H52" s="3" t="s">
        <v>18</v>
      </c>
      <c r="I52" s="4">
        <v>5300</v>
      </c>
      <c r="J52" s="30">
        <f t="shared" si="1"/>
        <v>15900</v>
      </c>
    </row>
    <row r="53" spans="1:10" x14ac:dyDescent="0.25">
      <c r="A53" s="1" t="s">
        <v>19</v>
      </c>
      <c r="B53" s="2" t="s">
        <v>20</v>
      </c>
      <c r="C53" s="38">
        <v>5</v>
      </c>
      <c r="D53" s="5" t="s">
        <v>63</v>
      </c>
      <c r="E53" s="5" t="s">
        <v>110</v>
      </c>
      <c r="F53" s="10" t="str">
        <f t="shared" si="0"/>
        <v>Lucas Lemos</v>
      </c>
      <c r="G53" s="8">
        <v>43460</v>
      </c>
      <c r="H53" s="3" t="s">
        <v>7</v>
      </c>
      <c r="I53" s="4">
        <v>5300</v>
      </c>
      <c r="J53" s="30">
        <f t="shared" si="1"/>
        <v>26500</v>
      </c>
    </row>
    <row r="54" spans="1:10" x14ac:dyDescent="0.25">
      <c r="A54" s="1" t="s">
        <v>19</v>
      </c>
      <c r="B54" s="2" t="s">
        <v>20</v>
      </c>
      <c r="C54" s="38">
        <v>4</v>
      </c>
      <c r="D54" s="5" t="s">
        <v>111</v>
      </c>
      <c r="E54" s="5" t="s">
        <v>112</v>
      </c>
      <c r="F54" s="10" t="str">
        <f t="shared" si="0"/>
        <v>Juliana Goes</v>
      </c>
      <c r="G54" s="8">
        <v>43179</v>
      </c>
      <c r="H54" s="3" t="s">
        <v>11</v>
      </c>
      <c r="I54" s="4">
        <v>5300</v>
      </c>
      <c r="J54" s="30">
        <f t="shared" si="1"/>
        <v>21200</v>
      </c>
    </row>
    <row r="55" spans="1:10" x14ac:dyDescent="0.25">
      <c r="A55" s="1" t="s">
        <v>17</v>
      </c>
      <c r="B55" s="2" t="s">
        <v>4</v>
      </c>
      <c r="C55" s="38">
        <v>3</v>
      </c>
      <c r="D55" s="5" t="s">
        <v>113</v>
      </c>
      <c r="E55" s="5" t="s">
        <v>51</v>
      </c>
      <c r="F55" s="10" t="str">
        <f t="shared" si="0"/>
        <v>Kim Ferreira</v>
      </c>
      <c r="G55" s="8">
        <v>43178</v>
      </c>
      <c r="H55" s="3" t="s">
        <v>13</v>
      </c>
      <c r="I55" s="4">
        <v>2100</v>
      </c>
      <c r="J55" s="30">
        <f t="shared" si="1"/>
        <v>6300</v>
      </c>
    </row>
    <row r="56" spans="1:10" x14ac:dyDescent="0.25">
      <c r="A56" s="1" t="s">
        <v>19</v>
      </c>
      <c r="B56" s="2" t="s">
        <v>20</v>
      </c>
      <c r="C56" s="38">
        <v>5</v>
      </c>
      <c r="D56" s="5" t="s">
        <v>114</v>
      </c>
      <c r="E56" s="5" t="s">
        <v>39</v>
      </c>
      <c r="F56" s="10" t="str">
        <f t="shared" si="0"/>
        <v>Ana Silva</v>
      </c>
      <c r="G56" s="8">
        <v>43245</v>
      </c>
      <c r="H56" s="3" t="s">
        <v>13</v>
      </c>
      <c r="I56" s="4">
        <v>5300</v>
      </c>
      <c r="J56" s="30">
        <f t="shared" si="1"/>
        <v>26500</v>
      </c>
    </row>
    <row r="57" spans="1:10" x14ac:dyDescent="0.25">
      <c r="A57" s="1" t="s">
        <v>21</v>
      </c>
      <c r="B57" s="2" t="s">
        <v>22</v>
      </c>
      <c r="C57" s="38">
        <v>1</v>
      </c>
      <c r="D57" s="5" t="s">
        <v>33</v>
      </c>
      <c r="E57" s="5" t="s">
        <v>115</v>
      </c>
      <c r="F57" s="10" t="str">
        <f t="shared" si="0"/>
        <v>Alexandre Dantas</v>
      </c>
      <c r="G57" s="8">
        <v>43128</v>
      </c>
      <c r="H57" s="3" t="s">
        <v>10</v>
      </c>
      <c r="I57" s="4">
        <v>3400</v>
      </c>
      <c r="J57" s="30">
        <f t="shared" si="1"/>
        <v>3400</v>
      </c>
    </row>
    <row r="58" spans="1:10" x14ac:dyDescent="0.25">
      <c r="A58" s="1" t="s">
        <v>16</v>
      </c>
      <c r="B58" s="2" t="s">
        <v>1</v>
      </c>
      <c r="C58" s="38">
        <v>3</v>
      </c>
      <c r="D58" s="5" t="s">
        <v>74</v>
      </c>
      <c r="E58" s="5" t="s">
        <v>116</v>
      </c>
      <c r="F58" s="10" t="str">
        <f t="shared" si="0"/>
        <v>Pedro Conceição</v>
      </c>
      <c r="G58" s="8">
        <v>43236</v>
      </c>
      <c r="H58" s="3" t="s">
        <v>9</v>
      </c>
      <c r="I58" s="4">
        <v>2500</v>
      </c>
      <c r="J58" s="30">
        <f t="shared" si="1"/>
        <v>7500</v>
      </c>
    </row>
    <row r="59" spans="1:10" x14ac:dyDescent="0.25">
      <c r="A59" s="1" t="s">
        <v>17</v>
      </c>
      <c r="B59" s="2" t="s">
        <v>4</v>
      </c>
      <c r="C59" s="38">
        <v>1</v>
      </c>
      <c r="D59" s="5" t="s">
        <v>117</v>
      </c>
      <c r="E59" s="5" t="s">
        <v>118</v>
      </c>
      <c r="F59" s="10" t="str">
        <f t="shared" si="0"/>
        <v>Marina Mesquita</v>
      </c>
      <c r="G59" s="8">
        <v>43337</v>
      </c>
      <c r="H59" s="3" t="s">
        <v>10</v>
      </c>
      <c r="I59" s="4">
        <v>2100</v>
      </c>
      <c r="J59" s="30">
        <f t="shared" si="1"/>
        <v>2100</v>
      </c>
    </row>
    <row r="60" spans="1:10" x14ac:dyDescent="0.25">
      <c r="A60" s="1" t="s">
        <v>15</v>
      </c>
      <c r="B60" s="2" t="s">
        <v>2</v>
      </c>
      <c r="C60" s="38">
        <v>3</v>
      </c>
      <c r="D60" s="5" t="s">
        <v>119</v>
      </c>
      <c r="E60" s="5" t="s">
        <v>120</v>
      </c>
      <c r="F60" s="10" t="str">
        <f t="shared" si="0"/>
        <v>Sandy Ribeiro</v>
      </c>
      <c r="G60" s="8">
        <v>43224</v>
      </c>
      <c r="H60" s="3" t="s">
        <v>9</v>
      </c>
      <c r="I60" s="4">
        <v>1600</v>
      </c>
      <c r="J60" s="30">
        <f t="shared" si="1"/>
        <v>4800</v>
      </c>
    </row>
    <row r="61" spans="1:10" x14ac:dyDescent="0.25">
      <c r="A61" s="1" t="s">
        <v>17</v>
      </c>
      <c r="B61" s="2" t="s">
        <v>4</v>
      </c>
      <c r="C61" s="38">
        <v>3</v>
      </c>
      <c r="D61" s="5" t="s">
        <v>121</v>
      </c>
      <c r="E61" s="5" t="s">
        <v>122</v>
      </c>
      <c r="F61" s="10" t="str">
        <f t="shared" si="0"/>
        <v>Adrielle Vieira</v>
      </c>
      <c r="G61" s="8">
        <v>43429</v>
      </c>
      <c r="H61" s="3" t="s">
        <v>13</v>
      </c>
      <c r="I61" s="4">
        <v>2100</v>
      </c>
      <c r="J61" s="30">
        <f t="shared" si="1"/>
        <v>6300</v>
      </c>
    </row>
    <row r="62" spans="1:10" x14ac:dyDescent="0.25">
      <c r="A62" s="1" t="s">
        <v>17</v>
      </c>
      <c r="B62" s="2" t="s">
        <v>4</v>
      </c>
      <c r="C62" s="38">
        <v>5</v>
      </c>
      <c r="D62" s="5" t="s">
        <v>123</v>
      </c>
      <c r="E62" s="5" t="s">
        <v>124</v>
      </c>
      <c r="F62" s="10" t="str">
        <f t="shared" si="0"/>
        <v>Jackson Derossi</v>
      </c>
      <c r="G62" s="8">
        <v>43434</v>
      </c>
      <c r="H62" s="3" t="s">
        <v>6</v>
      </c>
      <c r="I62" s="4">
        <v>2100</v>
      </c>
      <c r="J62" s="30">
        <f t="shared" si="1"/>
        <v>10500</v>
      </c>
    </row>
    <row r="63" spans="1:10" x14ac:dyDescent="0.25">
      <c r="A63" s="1" t="s">
        <v>14</v>
      </c>
      <c r="B63" s="2" t="s">
        <v>3</v>
      </c>
      <c r="C63" s="38">
        <v>4</v>
      </c>
      <c r="D63" s="5" t="s">
        <v>125</v>
      </c>
      <c r="E63" s="5" t="s">
        <v>126</v>
      </c>
      <c r="F63" s="10" t="str">
        <f t="shared" si="0"/>
        <v>Isabela Teixeira</v>
      </c>
      <c r="G63" s="8">
        <v>43343</v>
      </c>
      <c r="H63" s="3" t="s">
        <v>9</v>
      </c>
      <c r="I63" s="4">
        <v>1400</v>
      </c>
      <c r="J63" s="30">
        <f t="shared" si="1"/>
        <v>5600</v>
      </c>
    </row>
    <row r="64" spans="1:10" x14ac:dyDescent="0.25">
      <c r="A64" s="1" t="s">
        <v>17</v>
      </c>
      <c r="B64" s="2" t="s">
        <v>4</v>
      </c>
      <c r="C64" s="38">
        <v>1</v>
      </c>
      <c r="D64" s="5" t="s">
        <v>127</v>
      </c>
      <c r="E64" s="5" t="s">
        <v>128</v>
      </c>
      <c r="F64" s="10" t="str">
        <f t="shared" ref="F64:F128" si="2">CONCATENATE(D64, " ",E64)</f>
        <v>Willian Albino</v>
      </c>
      <c r="G64" s="8">
        <v>43130</v>
      </c>
      <c r="H64" s="3" t="s">
        <v>6</v>
      </c>
      <c r="I64" s="4">
        <v>2100</v>
      </c>
      <c r="J64" s="30">
        <f t="shared" ref="J64:J128" si="3">PRODUCT(I64,C64)</f>
        <v>2100</v>
      </c>
    </row>
    <row r="65" spans="1:10" x14ac:dyDescent="0.25">
      <c r="A65" s="1" t="s">
        <v>19</v>
      </c>
      <c r="B65" s="2" t="s">
        <v>20</v>
      </c>
      <c r="C65" s="38">
        <v>3</v>
      </c>
      <c r="D65" s="5" t="s">
        <v>54</v>
      </c>
      <c r="E65" s="5" t="s">
        <v>129</v>
      </c>
      <c r="F65" s="10" t="str">
        <f t="shared" si="2"/>
        <v>Carolina Costa</v>
      </c>
      <c r="G65" s="8">
        <v>43187</v>
      </c>
      <c r="H65" s="3" t="s">
        <v>9</v>
      </c>
      <c r="I65" s="4">
        <v>5300</v>
      </c>
      <c r="J65" s="30">
        <f t="shared" si="3"/>
        <v>15900</v>
      </c>
    </row>
    <row r="66" spans="1:10" x14ac:dyDescent="0.25">
      <c r="A66" s="1" t="s">
        <v>23</v>
      </c>
      <c r="B66" s="2" t="s">
        <v>0</v>
      </c>
      <c r="C66" s="38">
        <v>5</v>
      </c>
      <c r="D66" s="5" t="s">
        <v>130</v>
      </c>
      <c r="E66" s="5" t="s">
        <v>131</v>
      </c>
      <c r="F66" s="10" t="str">
        <f t="shared" si="2"/>
        <v>Bernardo Botelho</v>
      </c>
      <c r="G66" s="8">
        <v>43259</v>
      </c>
      <c r="H66" s="3" t="s">
        <v>7</v>
      </c>
      <c r="I66" s="4">
        <v>3500</v>
      </c>
      <c r="J66" s="30">
        <f t="shared" si="3"/>
        <v>17500</v>
      </c>
    </row>
    <row r="67" spans="1:10" x14ac:dyDescent="0.25">
      <c r="A67" s="1" t="s">
        <v>23</v>
      </c>
      <c r="B67" s="2" t="s">
        <v>0</v>
      </c>
      <c r="C67" s="38">
        <v>3</v>
      </c>
      <c r="D67" s="5" t="s">
        <v>132</v>
      </c>
      <c r="E67" s="5" t="s">
        <v>133</v>
      </c>
      <c r="F67" s="10" t="str">
        <f t="shared" si="2"/>
        <v>Carlos Melo</v>
      </c>
      <c r="G67" s="8">
        <v>43122</v>
      </c>
      <c r="H67" s="3" t="s">
        <v>11</v>
      </c>
      <c r="I67" s="4">
        <v>3500</v>
      </c>
      <c r="J67" s="30">
        <f t="shared" si="3"/>
        <v>10500</v>
      </c>
    </row>
    <row r="68" spans="1:10" x14ac:dyDescent="0.25">
      <c r="A68" s="1" t="s">
        <v>16</v>
      </c>
      <c r="B68" s="2" t="s">
        <v>1</v>
      </c>
      <c r="C68" s="38">
        <v>2</v>
      </c>
      <c r="D68" s="5" t="s">
        <v>54</v>
      </c>
      <c r="E68" s="5" t="s">
        <v>134</v>
      </c>
      <c r="F68" s="10" t="str">
        <f t="shared" si="2"/>
        <v>Carolina Figueiredo</v>
      </c>
      <c r="G68" s="8">
        <v>43148</v>
      </c>
      <c r="H68" s="3" t="s">
        <v>13</v>
      </c>
      <c r="I68" s="4">
        <v>2500</v>
      </c>
      <c r="J68" s="30">
        <f t="shared" si="3"/>
        <v>5000</v>
      </c>
    </row>
    <row r="69" spans="1:10" x14ac:dyDescent="0.25">
      <c r="A69" s="1" t="s">
        <v>21</v>
      </c>
      <c r="B69" s="2" t="s">
        <v>22</v>
      </c>
      <c r="C69" s="38">
        <v>3</v>
      </c>
      <c r="D69" s="5" t="s">
        <v>135</v>
      </c>
      <c r="E69" s="5" t="s">
        <v>136</v>
      </c>
      <c r="F69" s="10" t="str">
        <f t="shared" si="2"/>
        <v>Raissa Negrelli</v>
      </c>
      <c r="G69" s="8">
        <v>43169</v>
      </c>
      <c r="H69" s="3" t="s">
        <v>8</v>
      </c>
      <c r="I69" s="4">
        <v>3400</v>
      </c>
      <c r="J69" s="30">
        <f t="shared" si="3"/>
        <v>10200</v>
      </c>
    </row>
    <row r="70" spans="1:10" x14ac:dyDescent="0.25">
      <c r="A70" s="1" t="s">
        <v>21</v>
      </c>
      <c r="B70" s="2" t="s">
        <v>22</v>
      </c>
      <c r="C70" s="38">
        <v>4</v>
      </c>
      <c r="D70" s="5" t="s">
        <v>108</v>
      </c>
      <c r="E70" s="5" t="s">
        <v>137</v>
      </c>
      <c r="F70" s="10" t="str">
        <f t="shared" si="2"/>
        <v>Raphael Machado</v>
      </c>
      <c r="G70" s="8">
        <v>43448</v>
      </c>
      <c r="H70" s="3" t="s">
        <v>11</v>
      </c>
      <c r="I70" s="4">
        <v>3400</v>
      </c>
      <c r="J70" s="30">
        <f t="shared" si="3"/>
        <v>13600</v>
      </c>
    </row>
    <row r="71" spans="1:10" x14ac:dyDescent="0.25">
      <c r="A71" s="1" t="s">
        <v>15</v>
      </c>
      <c r="B71" s="2" t="s">
        <v>2</v>
      </c>
      <c r="C71" s="38">
        <v>4</v>
      </c>
      <c r="D71" s="5" t="s">
        <v>138</v>
      </c>
      <c r="E71" s="5" t="s">
        <v>139</v>
      </c>
      <c r="F71" s="10" t="str">
        <f t="shared" si="2"/>
        <v>Jéssica Resinente</v>
      </c>
      <c r="G71" s="8">
        <v>43157</v>
      </c>
      <c r="H71" s="3" t="s">
        <v>6</v>
      </c>
      <c r="I71" s="4">
        <v>1600</v>
      </c>
      <c r="J71" s="30">
        <f t="shared" si="3"/>
        <v>6400</v>
      </c>
    </row>
    <row r="72" spans="1:10" x14ac:dyDescent="0.25">
      <c r="A72" s="1" t="s">
        <v>19</v>
      </c>
      <c r="B72" s="2" t="s">
        <v>20</v>
      </c>
      <c r="C72" s="38">
        <v>3</v>
      </c>
      <c r="D72" s="5" t="s">
        <v>140</v>
      </c>
      <c r="E72" s="5" t="s">
        <v>141</v>
      </c>
      <c r="F72" s="10" t="str">
        <f t="shared" si="2"/>
        <v>Stephanie Gonçalves</v>
      </c>
      <c r="G72" s="8">
        <v>43367</v>
      </c>
      <c r="H72" s="3" t="s">
        <v>6</v>
      </c>
      <c r="I72" s="4">
        <v>5300</v>
      </c>
      <c r="J72" s="30">
        <f t="shared" si="3"/>
        <v>15900</v>
      </c>
    </row>
    <row r="73" spans="1:10" x14ac:dyDescent="0.25">
      <c r="A73" s="1" t="s">
        <v>14</v>
      </c>
      <c r="B73" s="2" t="s">
        <v>3</v>
      </c>
      <c r="C73" s="38">
        <v>2</v>
      </c>
      <c r="D73" s="5" t="s">
        <v>142</v>
      </c>
      <c r="E73" s="5" t="s">
        <v>143</v>
      </c>
      <c r="F73" s="10" t="str">
        <f t="shared" si="2"/>
        <v>Caroline Aquino</v>
      </c>
      <c r="G73" s="8">
        <v>43202</v>
      </c>
      <c r="H73" s="3" t="s">
        <v>11</v>
      </c>
      <c r="I73" s="4">
        <v>1400</v>
      </c>
      <c r="J73" s="30">
        <f t="shared" si="3"/>
        <v>2800</v>
      </c>
    </row>
    <row r="74" spans="1:10" x14ac:dyDescent="0.25">
      <c r="A74" s="1" t="s">
        <v>21</v>
      </c>
      <c r="B74" s="2" t="s">
        <v>22</v>
      </c>
      <c r="C74" s="38">
        <v>3</v>
      </c>
      <c r="D74" s="5" t="s">
        <v>144</v>
      </c>
      <c r="E74" s="5" t="s">
        <v>145</v>
      </c>
      <c r="F74" s="10" t="str">
        <f t="shared" si="2"/>
        <v>Marcelo Guadagnino</v>
      </c>
      <c r="G74" s="8">
        <v>43461</v>
      </c>
      <c r="H74" s="3" t="s">
        <v>13</v>
      </c>
      <c r="I74" s="4">
        <v>3400</v>
      </c>
      <c r="J74" s="30">
        <f t="shared" si="3"/>
        <v>10200</v>
      </c>
    </row>
    <row r="75" spans="1:10" x14ac:dyDescent="0.25">
      <c r="A75" s="1" t="s">
        <v>23</v>
      </c>
      <c r="B75" s="2" t="s">
        <v>0</v>
      </c>
      <c r="C75" s="38">
        <v>1</v>
      </c>
      <c r="D75" s="5" t="s">
        <v>97</v>
      </c>
      <c r="E75" s="5" t="s">
        <v>146</v>
      </c>
      <c r="F75" s="10" t="str">
        <f t="shared" si="2"/>
        <v>Guilherme Vianna</v>
      </c>
      <c r="G75" s="8">
        <v>43214</v>
      </c>
      <c r="H75" s="3" t="s">
        <v>6</v>
      </c>
      <c r="I75" s="4">
        <v>3500</v>
      </c>
      <c r="J75" s="30">
        <f t="shared" si="3"/>
        <v>3500</v>
      </c>
    </row>
    <row r="76" spans="1:10" x14ac:dyDescent="0.25">
      <c r="A76" s="1" t="s">
        <v>14</v>
      </c>
      <c r="B76" s="2" t="s">
        <v>3</v>
      </c>
      <c r="C76" s="38">
        <v>5</v>
      </c>
      <c r="D76" s="5" t="s">
        <v>147</v>
      </c>
      <c r="E76" s="5" t="s">
        <v>148</v>
      </c>
      <c r="F76" s="10" t="str">
        <f t="shared" si="2"/>
        <v>Thiago Lima</v>
      </c>
      <c r="G76" s="8">
        <v>43129</v>
      </c>
      <c r="H76" s="3" t="s">
        <v>6</v>
      </c>
      <c r="I76" s="4">
        <v>1400</v>
      </c>
      <c r="J76" s="30">
        <f t="shared" si="3"/>
        <v>7000</v>
      </c>
    </row>
    <row r="77" spans="1:10" x14ac:dyDescent="0.25">
      <c r="A77" s="1" t="s">
        <v>16</v>
      </c>
      <c r="B77" s="2" t="s">
        <v>1</v>
      </c>
      <c r="C77" s="38">
        <v>2</v>
      </c>
      <c r="D77" s="5" t="s">
        <v>63</v>
      </c>
      <c r="E77" s="5" t="s">
        <v>149</v>
      </c>
      <c r="F77" s="10" t="str">
        <f t="shared" si="2"/>
        <v>Lucas Junior</v>
      </c>
      <c r="G77" s="8">
        <v>43315</v>
      </c>
      <c r="H77" s="3" t="s">
        <v>10</v>
      </c>
      <c r="I77" s="4">
        <v>2500</v>
      </c>
      <c r="J77" s="30">
        <f t="shared" si="3"/>
        <v>5000</v>
      </c>
    </row>
    <row r="78" spans="1:10" x14ac:dyDescent="0.25">
      <c r="A78" s="1" t="s">
        <v>23</v>
      </c>
      <c r="B78" s="2" t="s">
        <v>0</v>
      </c>
      <c r="C78" s="38">
        <v>2</v>
      </c>
      <c r="D78" s="5" t="s">
        <v>150</v>
      </c>
      <c r="E78" s="5" t="s">
        <v>151</v>
      </c>
      <c r="F78" s="10" t="str">
        <f t="shared" si="2"/>
        <v>Victor Gomes</v>
      </c>
      <c r="G78" s="8">
        <v>43182</v>
      </c>
      <c r="H78" s="3" t="s">
        <v>9</v>
      </c>
      <c r="I78" s="4">
        <v>3500</v>
      </c>
      <c r="J78" s="30">
        <f t="shared" si="3"/>
        <v>7000</v>
      </c>
    </row>
    <row r="79" spans="1:10" x14ac:dyDescent="0.25">
      <c r="A79" s="1" t="s">
        <v>15</v>
      </c>
      <c r="B79" s="2" t="s">
        <v>2</v>
      </c>
      <c r="C79" s="38">
        <v>2</v>
      </c>
      <c r="D79" s="5" t="s">
        <v>152</v>
      </c>
      <c r="E79" s="5" t="s">
        <v>153</v>
      </c>
      <c r="F79" s="10" t="str">
        <f t="shared" si="2"/>
        <v>Deysiane Medronho</v>
      </c>
      <c r="G79" s="8">
        <v>43385</v>
      </c>
      <c r="H79" s="3" t="s">
        <v>13</v>
      </c>
      <c r="I79" s="4">
        <v>1600</v>
      </c>
      <c r="J79" s="30">
        <f t="shared" si="3"/>
        <v>3200</v>
      </c>
    </row>
    <row r="80" spans="1:10" x14ac:dyDescent="0.25">
      <c r="A80" s="1" t="s">
        <v>16</v>
      </c>
      <c r="B80" s="2" t="s">
        <v>1</v>
      </c>
      <c r="C80" s="38">
        <v>4</v>
      </c>
      <c r="D80" s="5" t="s">
        <v>123</v>
      </c>
      <c r="E80" s="5" t="s">
        <v>124</v>
      </c>
      <c r="F80" s="10" t="str">
        <f t="shared" si="2"/>
        <v>Jackson Derossi</v>
      </c>
      <c r="G80" s="8">
        <v>43254</v>
      </c>
      <c r="H80" s="3" t="s">
        <v>13</v>
      </c>
      <c r="I80" s="4">
        <v>2500</v>
      </c>
      <c r="J80" s="30">
        <f t="shared" si="3"/>
        <v>10000</v>
      </c>
    </row>
    <row r="81" spans="1:10" x14ac:dyDescent="0.25">
      <c r="A81" s="1" t="s">
        <v>19</v>
      </c>
      <c r="B81" s="2" t="s">
        <v>20</v>
      </c>
      <c r="C81" s="38">
        <v>3</v>
      </c>
      <c r="D81" s="5" t="s">
        <v>154</v>
      </c>
      <c r="E81" s="5" t="s">
        <v>155</v>
      </c>
      <c r="F81" s="10" t="str">
        <f t="shared" si="2"/>
        <v>Livia Codeceira</v>
      </c>
      <c r="G81" s="8">
        <v>43108</v>
      </c>
      <c r="H81" s="3" t="s">
        <v>6</v>
      </c>
      <c r="I81" s="4">
        <v>5300</v>
      </c>
      <c r="J81" s="30">
        <f t="shared" si="3"/>
        <v>15900</v>
      </c>
    </row>
    <row r="82" spans="1:10" x14ac:dyDescent="0.25">
      <c r="A82" s="1" t="s">
        <v>16</v>
      </c>
      <c r="B82" s="2" t="s">
        <v>1</v>
      </c>
      <c r="C82" s="38">
        <v>3</v>
      </c>
      <c r="D82" s="5" t="s">
        <v>85</v>
      </c>
      <c r="E82" s="5" t="s">
        <v>89</v>
      </c>
      <c r="F82" s="10" t="str">
        <f t="shared" si="2"/>
        <v>João Alves</v>
      </c>
      <c r="G82" s="8">
        <v>43227</v>
      </c>
      <c r="H82" s="3" t="s">
        <v>9</v>
      </c>
      <c r="I82" s="4">
        <v>2500</v>
      </c>
      <c r="J82" s="30">
        <f t="shared" si="3"/>
        <v>7500</v>
      </c>
    </row>
    <row r="83" spans="1:10" x14ac:dyDescent="0.25">
      <c r="A83" s="1" t="s">
        <v>15</v>
      </c>
      <c r="B83" s="2" t="s">
        <v>2</v>
      </c>
      <c r="C83" s="38">
        <v>5</v>
      </c>
      <c r="D83" s="5" t="s">
        <v>63</v>
      </c>
      <c r="E83" s="5" t="s">
        <v>129</v>
      </c>
      <c r="F83" s="10" t="str">
        <f t="shared" si="2"/>
        <v>Lucas Costa</v>
      </c>
      <c r="G83" s="8">
        <v>43357</v>
      </c>
      <c r="H83" s="3" t="s">
        <v>18</v>
      </c>
      <c r="I83" s="4">
        <v>1600</v>
      </c>
      <c r="J83" s="30">
        <f t="shared" si="3"/>
        <v>8000</v>
      </c>
    </row>
    <row r="84" spans="1:10" x14ac:dyDescent="0.25">
      <c r="A84" s="1" t="s">
        <v>21</v>
      </c>
      <c r="B84" s="2" t="s">
        <v>22</v>
      </c>
      <c r="C84" s="38">
        <v>5</v>
      </c>
      <c r="D84" s="5" t="s">
        <v>156</v>
      </c>
      <c r="E84" s="5" t="s">
        <v>157</v>
      </c>
      <c r="F84" s="10" t="str">
        <f t="shared" si="2"/>
        <v>Thales Fanara</v>
      </c>
      <c r="G84" s="8">
        <v>43204</v>
      </c>
      <c r="H84" s="3" t="s">
        <v>9</v>
      </c>
      <c r="I84" s="4">
        <v>3400</v>
      </c>
      <c r="J84" s="30">
        <f t="shared" si="3"/>
        <v>17000</v>
      </c>
    </row>
    <row r="85" spans="1:10" x14ac:dyDescent="0.25">
      <c r="A85" s="1" t="s">
        <v>17</v>
      </c>
      <c r="B85" s="2" t="s">
        <v>4</v>
      </c>
      <c r="C85" s="38">
        <v>2</v>
      </c>
      <c r="D85" s="5" t="s">
        <v>150</v>
      </c>
      <c r="E85" s="5" t="s">
        <v>158</v>
      </c>
      <c r="F85" s="10" t="str">
        <f t="shared" si="2"/>
        <v>Victor Lira</v>
      </c>
      <c r="G85" s="8">
        <v>43289</v>
      </c>
      <c r="H85" s="3" t="s">
        <v>13</v>
      </c>
      <c r="I85" s="4">
        <v>2100</v>
      </c>
      <c r="J85" s="30">
        <f t="shared" si="3"/>
        <v>4200</v>
      </c>
    </row>
    <row r="86" spans="1:10" x14ac:dyDescent="0.25">
      <c r="A86" s="1" t="s">
        <v>19</v>
      </c>
      <c r="B86" s="2" t="s">
        <v>20</v>
      </c>
      <c r="C86" s="38">
        <v>1</v>
      </c>
      <c r="D86" s="5" t="s">
        <v>85</v>
      </c>
      <c r="E86" s="5" t="s">
        <v>159</v>
      </c>
      <c r="F86" s="10" t="str">
        <f t="shared" si="2"/>
        <v>João Abraçado</v>
      </c>
      <c r="G86" s="8">
        <v>43220</v>
      </c>
      <c r="H86" s="3" t="s">
        <v>13</v>
      </c>
      <c r="I86" s="4">
        <v>5300</v>
      </c>
      <c r="J86" s="30">
        <f t="shared" si="3"/>
        <v>5300</v>
      </c>
    </row>
    <row r="87" spans="1:10" x14ac:dyDescent="0.25">
      <c r="A87" s="1" t="s">
        <v>19</v>
      </c>
      <c r="B87" s="2" t="s">
        <v>20</v>
      </c>
      <c r="C87" s="38">
        <v>3</v>
      </c>
      <c r="D87" s="5" t="s">
        <v>160</v>
      </c>
      <c r="E87" s="5" t="s">
        <v>161</v>
      </c>
      <c r="F87" s="10" t="str">
        <f t="shared" si="2"/>
        <v>Victoria Tavares</v>
      </c>
      <c r="G87" s="8">
        <v>43358</v>
      </c>
      <c r="H87" s="3" t="s">
        <v>6</v>
      </c>
      <c r="I87" s="4">
        <v>5300</v>
      </c>
      <c r="J87" s="30">
        <f t="shared" si="3"/>
        <v>15900</v>
      </c>
    </row>
    <row r="88" spans="1:10" x14ac:dyDescent="0.25">
      <c r="A88" s="1" t="s">
        <v>16</v>
      </c>
      <c r="B88" s="2" t="s">
        <v>1</v>
      </c>
      <c r="C88" s="38">
        <v>3</v>
      </c>
      <c r="D88" s="5" t="s">
        <v>162</v>
      </c>
      <c r="E88" s="5" t="s">
        <v>163</v>
      </c>
      <c r="F88" s="10" t="str">
        <f t="shared" si="2"/>
        <v>Jonatas Essaber</v>
      </c>
      <c r="G88" s="8">
        <v>43134</v>
      </c>
      <c r="H88" s="3" t="s">
        <v>9</v>
      </c>
      <c r="I88" s="4">
        <v>2500</v>
      </c>
      <c r="J88" s="30">
        <f t="shared" si="3"/>
        <v>7500</v>
      </c>
    </row>
    <row r="89" spans="1:10" x14ac:dyDescent="0.25">
      <c r="A89" s="1" t="s">
        <v>16</v>
      </c>
      <c r="B89" s="2" t="s">
        <v>1</v>
      </c>
      <c r="C89" s="38">
        <v>4</v>
      </c>
      <c r="D89" s="5" t="s">
        <v>164</v>
      </c>
      <c r="E89" s="5" t="s">
        <v>165</v>
      </c>
      <c r="F89" s="10" t="str">
        <f t="shared" si="2"/>
        <v>Luíza Goulart</v>
      </c>
      <c r="G89" s="8">
        <v>43306</v>
      </c>
      <c r="H89" s="3" t="s">
        <v>10</v>
      </c>
      <c r="I89" s="4">
        <v>2500</v>
      </c>
      <c r="J89" s="30">
        <f t="shared" si="3"/>
        <v>10000</v>
      </c>
    </row>
    <row r="90" spans="1:10" x14ac:dyDescent="0.25">
      <c r="A90" s="1" t="s">
        <v>17</v>
      </c>
      <c r="B90" s="2" t="s">
        <v>4</v>
      </c>
      <c r="C90" s="38">
        <v>4</v>
      </c>
      <c r="D90" s="5" t="s">
        <v>104</v>
      </c>
      <c r="E90" s="5" t="s">
        <v>166</v>
      </c>
      <c r="F90" s="10" t="str">
        <f t="shared" si="2"/>
        <v>Ulisses Filho</v>
      </c>
      <c r="G90" s="8">
        <v>43373</v>
      </c>
      <c r="H90" s="3" t="s">
        <v>11</v>
      </c>
      <c r="I90" s="4">
        <v>2100</v>
      </c>
      <c r="J90" s="30">
        <f t="shared" si="3"/>
        <v>8400</v>
      </c>
    </row>
    <row r="91" spans="1:10" x14ac:dyDescent="0.25">
      <c r="A91" s="1" t="s">
        <v>17</v>
      </c>
      <c r="B91" s="2" t="s">
        <v>4</v>
      </c>
      <c r="C91" s="38">
        <v>4</v>
      </c>
      <c r="D91" s="5" t="s">
        <v>167</v>
      </c>
      <c r="E91" s="5" t="s">
        <v>151</v>
      </c>
      <c r="F91" s="10" t="str">
        <f t="shared" si="2"/>
        <v>Matheus Gomes</v>
      </c>
      <c r="G91" s="8">
        <v>43118</v>
      </c>
      <c r="H91" s="3" t="s">
        <v>13</v>
      </c>
      <c r="I91" s="4">
        <v>2100</v>
      </c>
      <c r="J91" s="30">
        <f t="shared" si="3"/>
        <v>8400</v>
      </c>
    </row>
    <row r="92" spans="1:10" x14ac:dyDescent="0.25">
      <c r="A92" s="1" t="s">
        <v>19</v>
      </c>
      <c r="B92" s="2" t="s">
        <v>20</v>
      </c>
      <c r="C92" s="38">
        <v>1</v>
      </c>
      <c r="D92" s="5" t="s">
        <v>85</v>
      </c>
      <c r="E92" s="5" t="s">
        <v>86</v>
      </c>
      <c r="F92" s="10" t="str">
        <f t="shared" si="2"/>
        <v>João Aires</v>
      </c>
      <c r="G92" s="8">
        <v>43375</v>
      </c>
      <c r="H92" s="3" t="s">
        <v>6</v>
      </c>
      <c r="I92" s="4">
        <v>5300</v>
      </c>
      <c r="J92" s="30">
        <f t="shared" si="3"/>
        <v>5300</v>
      </c>
    </row>
    <row r="93" spans="1:10" x14ac:dyDescent="0.25">
      <c r="A93" s="1" t="s">
        <v>19</v>
      </c>
      <c r="B93" s="2" t="s">
        <v>20</v>
      </c>
      <c r="C93" s="38">
        <v>2</v>
      </c>
      <c r="D93" s="5" t="s">
        <v>101</v>
      </c>
      <c r="E93" s="5" t="s">
        <v>168</v>
      </c>
      <c r="F93" s="10" t="str">
        <f t="shared" si="2"/>
        <v>Breno Caputo</v>
      </c>
      <c r="G93" s="8">
        <v>43189</v>
      </c>
      <c r="H93" s="3" t="s">
        <v>8</v>
      </c>
      <c r="I93" s="4">
        <v>5300</v>
      </c>
      <c r="J93" s="30">
        <f t="shared" si="3"/>
        <v>10600</v>
      </c>
    </row>
    <row r="94" spans="1:10" x14ac:dyDescent="0.25">
      <c r="A94" s="1" t="s">
        <v>19</v>
      </c>
      <c r="B94" s="2" t="s">
        <v>20</v>
      </c>
      <c r="C94" s="38">
        <v>3</v>
      </c>
      <c r="D94" s="5" t="s">
        <v>169</v>
      </c>
      <c r="E94" s="5" t="s">
        <v>170</v>
      </c>
      <c r="F94" s="10" t="str">
        <f t="shared" si="2"/>
        <v>Aline Andrade</v>
      </c>
      <c r="G94" s="8">
        <v>43425</v>
      </c>
      <c r="H94" s="3" t="s">
        <v>11</v>
      </c>
      <c r="I94" s="4">
        <v>5300</v>
      </c>
      <c r="J94" s="30">
        <f t="shared" si="3"/>
        <v>15900</v>
      </c>
    </row>
    <row r="95" spans="1:10" x14ac:dyDescent="0.25">
      <c r="A95" s="1" t="s">
        <v>19</v>
      </c>
      <c r="B95" s="2" t="s">
        <v>20</v>
      </c>
      <c r="C95" s="38">
        <v>4</v>
      </c>
      <c r="D95" s="5" t="s">
        <v>63</v>
      </c>
      <c r="E95" s="5" t="s">
        <v>171</v>
      </c>
      <c r="F95" s="10" t="str">
        <f t="shared" si="2"/>
        <v>Lucas Fontoura</v>
      </c>
      <c r="G95" s="8">
        <v>43224</v>
      </c>
      <c r="H95" s="3" t="s">
        <v>13</v>
      </c>
      <c r="I95" s="4">
        <v>5300</v>
      </c>
      <c r="J95" s="30">
        <f t="shared" si="3"/>
        <v>21200</v>
      </c>
    </row>
    <row r="96" spans="1:10" x14ac:dyDescent="0.25">
      <c r="A96" s="1" t="s">
        <v>14</v>
      </c>
      <c r="B96" s="2" t="s">
        <v>3</v>
      </c>
      <c r="C96" s="38">
        <v>2</v>
      </c>
      <c r="D96" s="5" t="s">
        <v>74</v>
      </c>
      <c r="E96" s="5" t="s">
        <v>57</v>
      </c>
      <c r="F96" s="10" t="str">
        <f t="shared" si="2"/>
        <v>Pedro Rodrigues</v>
      </c>
      <c r="G96" s="8">
        <v>43307</v>
      </c>
      <c r="H96" s="3" t="s">
        <v>12</v>
      </c>
      <c r="I96" s="4">
        <v>1400</v>
      </c>
      <c r="J96" s="30">
        <f t="shared" si="3"/>
        <v>2800</v>
      </c>
    </row>
    <row r="97" spans="1:10" x14ac:dyDescent="0.25">
      <c r="A97" s="1" t="s">
        <v>17</v>
      </c>
      <c r="B97" s="2" t="s">
        <v>4</v>
      </c>
      <c r="C97" s="38">
        <v>3</v>
      </c>
      <c r="D97" s="5" t="s">
        <v>66</v>
      </c>
      <c r="E97" s="5" t="s">
        <v>67</v>
      </c>
      <c r="F97" s="10" t="str">
        <f t="shared" si="2"/>
        <v>Carla Zakhm</v>
      </c>
      <c r="G97" s="8">
        <v>43258</v>
      </c>
      <c r="H97" s="3" t="s">
        <v>10</v>
      </c>
      <c r="I97" s="4">
        <v>2100</v>
      </c>
      <c r="J97" s="30">
        <f t="shared" si="3"/>
        <v>6300</v>
      </c>
    </row>
    <row r="98" spans="1:10" x14ac:dyDescent="0.25">
      <c r="A98" s="1" t="s">
        <v>17</v>
      </c>
      <c r="B98" s="2" t="s">
        <v>4</v>
      </c>
      <c r="C98" s="38">
        <v>4</v>
      </c>
      <c r="D98" s="5" t="s">
        <v>63</v>
      </c>
      <c r="E98" s="5" t="s">
        <v>172</v>
      </c>
      <c r="F98" s="10" t="str">
        <f t="shared" si="2"/>
        <v>Lucas Aragão</v>
      </c>
      <c r="G98" s="8">
        <v>43183</v>
      </c>
      <c r="H98" s="3" t="s">
        <v>6</v>
      </c>
      <c r="I98" s="4">
        <v>2100</v>
      </c>
      <c r="J98" s="30">
        <f t="shared" si="3"/>
        <v>8400</v>
      </c>
    </row>
    <row r="99" spans="1:10" x14ac:dyDescent="0.25">
      <c r="A99" s="1" t="s">
        <v>19</v>
      </c>
      <c r="B99" s="2" t="s">
        <v>20</v>
      </c>
      <c r="C99" s="38">
        <v>1</v>
      </c>
      <c r="D99" s="5" t="s">
        <v>173</v>
      </c>
      <c r="E99" s="5" t="s">
        <v>174</v>
      </c>
      <c r="F99" s="10" t="str">
        <f t="shared" si="2"/>
        <v>Raul Junqueira</v>
      </c>
      <c r="G99" s="8">
        <v>43117</v>
      </c>
      <c r="H99" s="3" t="s">
        <v>18</v>
      </c>
      <c r="I99" s="4">
        <v>5300</v>
      </c>
      <c r="J99" s="30">
        <f t="shared" si="3"/>
        <v>5300</v>
      </c>
    </row>
    <row r="100" spans="1:10" x14ac:dyDescent="0.25">
      <c r="A100" s="1" t="s">
        <v>19</v>
      </c>
      <c r="B100" s="2" t="s">
        <v>20</v>
      </c>
      <c r="C100" s="38">
        <v>4</v>
      </c>
      <c r="D100" s="5" t="s">
        <v>150</v>
      </c>
      <c r="E100" s="5" t="s">
        <v>175</v>
      </c>
      <c r="F100" s="10" t="str">
        <f t="shared" si="2"/>
        <v>Victor Soares</v>
      </c>
      <c r="G100" s="8">
        <v>43200</v>
      </c>
      <c r="H100" s="3" t="s">
        <v>8</v>
      </c>
      <c r="I100" s="4">
        <v>5300</v>
      </c>
      <c r="J100" s="30">
        <f t="shared" si="3"/>
        <v>21200</v>
      </c>
    </row>
    <row r="101" spans="1:10" x14ac:dyDescent="0.25">
      <c r="A101" s="1" t="s">
        <v>17</v>
      </c>
      <c r="B101" s="2" t="s">
        <v>4</v>
      </c>
      <c r="C101" s="38">
        <v>3</v>
      </c>
      <c r="D101" s="5" t="s">
        <v>54</v>
      </c>
      <c r="E101" s="5" t="s">
        <v>43</v>
      </c>
      <c r="F101" s="10" t="str">
        <f t="shared" si="2"/>
        <v>Carolina Rocha</v>
      </c>
      <c r="G101" s="8">
        <v>43138</v>
      </c>
      <c r="H101" s="3" t="s">
        <v>6</v>
      </c>
      <c r="I101" s="4">
        <v>2100</v>
      </c>
      <c r="J101" s="30">
        <f t="shared" si="3"/>
        <v>6300</v>
      </c>
    </row>
    <row r="102" spans="1:10" x14ac:dyDescent="0.25">
      <c r="A102" s="1" t="s">
        <v>16</v>
      </c>
      <c r="B102" s="2" t="s">
        <v>1</v>
      </c>
      <c r="C102" s="38">
        <v>1</v>
      </c>
      <c r="D102" s="5" t="s">
        <v>50</v>
      </c>
      <c r="E102" s="5" t="s">
        <v>94</v>
      </c>
      <c r="F102" s="10" t="str">
        <f t="shared" si="2"/>
        <v>Caio Fernandes</v>
      </c>
      <c r="G102" s="8">
        <v>43306</v>
      </c>
      <c r="H102" s="3" t="s">
        <v>6</v>
      </c>
      <c r="I102" s="4">
        <v>2500</v>
      </c>
      <c r="J102" s="30">
        <f t="shared" si="3"/>
        <v>2500</v>
      </c>
    </row>
    <row r="103" spans="1:10" x14ac:dyDescent="0.25">
      <c r="A103" s="1" t="s">
        <v>19</v>
      </c>
      <c r="B103" s="2" t="s">
        <v>20</v>
      </c>
      <c r="C103" s="38">
        <v>4</v>
      </c>
      <c r="D103" s="5" t="s">
        <v>80</v>
      </c>
      <c r="E103" s="5" t="s">
        <v>81</v>
      </c>
      <c r="F103" s="10" t="str">
        <f t="shared" si="2"/>
        <v>Rubens Netto</v>
      </c>
      <c r="G103" s="8">
        <v>43108</v>
      </c>
      <c r="H103" s="3" t="s">
        <v>18</v>
      </c>
      <c r="I103" s="4">
        <v>5300</v>
      </c>
      <c r="J103" s="30">
        <f t="shared" si="3"/>
        <v>21200</v>
      </c>
    </row>
    <row r="104" spans="1:10" x14ac:dyDescent="0.25">
      <c r="A104" s="1" t="s">
        <v>19</v>
      </c>
      <c r="B104" s="2" t="s">
        <v>20</v>
      </c>
      <c r="C104" s="38">
        <v>2</v>
      </c>
      <c r="D104" s="5" t="s">
        <v>176</v>
      </c>
      <c r="E104" s="5" t="s">
        <v>177</v>
      </c>
      <c r="F104" s="10" t="str">
        <f t="shared" si="2"/>
        <v>Isabel Leite</v>
      </c>
      <c r="G104" s="8">
        <v>43253</v>
      </c>
      <c r="H104" s="3" t="s">
        <v>18</v>
      </c>
      <c r="I104" s="4">
        <v>5300</v>
      </c>
      <c r="J104" s="30">
        <f t="shared" si="3"/>
        <v>10600</v>
      </c>
    </row>
    <row r="105" spans="1:10" x14ac:dyDescent="0.25">
      <c r="A105" s="1" t="s">
        <v>17</v>
      </c>
      <c r="B105" s="2" t="s">
        <v>4</v>
      </c>
      <c r="C105" s="38">
        <v>2</v>
      </c>
      <c r="D105" s="5" t="s">
        <v>52</v>
      </c>
      <c r="E105" s="5" t="s">
        <v>178</v>
      </c>
      <c r="F105" s="10" t="str">
        <f t="shared" si="2"/>
        <v>Mariana Barrozo</v>
      </c>
      <c r="G105" s="8">
        <v>43317</v>
      </c>
      <c r="H105" s="3" t="s">
        <v>13</v>
      </c>
      <c r="I105" s="4">
        <v>2100</v>
      </c>
      <c r="J105" s="30">
        <f t="shared" si="3"/>
        <v>4200</v>
      </c>
    </row>
    <row r="106" spans="1:10" x14ac:dyDescent="0.25">
      <c r="A106" s="1" t="s">
        <v>16</v>
      </c>
      <c r="B106" s="2" t="s">
        <v>1</v>
      </c>
      <c r="C106" s="38">
        <v>2</v>
      </c>
      <c r="D106" s="5" t="s">
        <v>179</v>
      </c>
      <c r="E106" s="5" t="s">
        <v>180</v>
      </c>
      <c r="F106" s="10" t="str">
        <f t="shared" si="2"/>
        <v>Raíza Lopes</v>
      </c>
      <c r="G106" s="8">
        <v>43214</v>
      </c>
      <c r="H106" s="3" t="s">
        <v>7</v>
      </c>
      <c r="I106" s="4">
        <v>2500</v>
      </c>
      <c r="J106" s="30">
        <f t="shared" si="3"/>
        <v>5000</v>
      </c>
    </row>
    <row r="107" spans="1:10" x14ac:dyDescent="0.25">
      <c r="A107" s="1" t="s">
        <v>16</v>
      </c>
      <c r="B107" s="2" t="s">
        <v>1</v>
      </c>
      <c r="C107" s="38">
        <v>4</v>
      </c>
      <c r="D107" s="5" t="s">
        <v>181</v>
      </c>
      <c r="E107" s="5" t="s">
        <v>180</v>
      </c>
      <c r="F107" s="10" t="str">
        <f t="shared" si="2"/>
        <v>Débora Lopes</v>
      </c>
      <c r="G107" s="8">
        <v>43164</v>
      </c>
      <c r="H107" s="3" t="s">
        <v>18</v>
      </c>
      <c r="I107" s="4">
        <v>2500</v>
      </c>
      <c r="J107" s="30">
        <f t="shared" si="3"/>
        <v>10000</v>
      </c>
    </row>
    <row r="108" spans="1:10" x14ac:dyDescent="0.25">
      <c r="A108" s="1" t="s">
        <v>19</v>
      </c>
      <c r="B108" s="2" t="s">
        <v>20</v>
      </c>
      <c r="C108" s="38">
        <v>3</v>
      </c>
      <c r="D108" s="5" t="s">
        <v>83</v>
      </c>
      <c r="E108" s="5" t="s">
        <v>182</v>
      </c>
      <c r="F108" s="10" t="str">
        <f t="shared" si="2"/>
        <v>Beatriz Cavalcanti</v>
      </c>
      <c r="G108" s="8">
        <v>43403</v>
      </c>
      <c r="H108" s="3" t="s">
        <v>9</v>
      </c>
      <c r="I108" s="4">
        <v>5300</v>
      </c>
      <c r="J108" s="30">
        <f t="shared" si="3"/>
        <v>15900</v>
      </c>
    </row>
    <row r="109" spans="1:10" x14ac:dyDescent="0.25">
      <c r="A109" s="1" t="s">
        <v>16</v>
      </c>
      <c r="B109" s="2" t="s">
        <v>1</v>
      </c>
      <c r="C109" s="38">
        <v>2</v>
      </c>
      <c r="D109" s="5" t="s">
        <v>74</v>
      </c>
      <c r="E109" s="5" t="s">
        <v>57</v>
      </c>
      <c r="F109" s="10" t="str">
        <f t="shared" si="2"/>
        <v>Pedro Rodrigues</v>
      </c>
      <c r="G109" s="8">
        <v>43206</v>
      </c>
      <c r="H109" s="3" t="s">
        <v>8</v>
      </c>
      <c r="I109" s="4">
        <v>2500</v>
      </c>
      <c r="J109" s="30">
        <f t="shared" si="3"/>
        <v>5000</v>
      </c>
    </row>
    <row r="110" spans="1:10" x14ac:dyDescent="0.25">
      <c r="A110" s="1" t="s">
        <v>16</v>
      </c>
      <c r="B110" s="2" t="s">
        <v>1</v>
      </c>
      <c r="C110" s="38">
        <v>4</v>
      </c>
      <c r="D110" s="5" t="s">
        <v>183</v>
      </c>
      <c r="E110" s="5" t="s">
        <v>184</v>
      </c>
      <c r="F110" s="10" t="str">
        <f t="shared" si="2"/>
        <v>Maurício Dias</v>
      </c>
      <c r="G110" s="8">
        <v>43353</v>
      </c>
      <c r="H110" s="3" t="s">
        <v>13</v>
      </c>
      <c r="I110" s="4">
        <v>2500</v>
      </c>
      <c r="J110" s="30">
        <f t="shared" si="3"/>
        <v>10000</v>
      </c>
    </row>
    <row r="111" spans="1:10" x14ac:dyDescent="0.25">
      <c r="A111" s="1" t="s">
        <v>23</v>
      </c>
      <c r="B111" s="2" t="s">
        <v>0</v>
      </c>
      <c r="C111" s="38">
        <v>4</v>
      </c>
      <c r="D111" s="5" t="s">
        <v>185</v>
      </c>
      <c r="E111" s="5" t="s">
        <v>186</v>
      </c>
      <c r="F111" s="10" t="str">
        <f t="shared" si="2"/>
        <v>Allan Candido</v>
      </c>
      <c r="G111" s="8">
        <v>43195</v>
      </c>
      <c r="H111" s="3" t="s">
        <v>10</v>
      </c>
      <c r="I111" s="4">
        <v>3500</v>
      </c>
      <c r="J111" s="30">
        <f t="shared" si="3"/>
        <v>14000</v>
      </c>
    </row>
    <row r="112" spans="1:10" x14ac:dyDescent="0.25">
      <c r="A112" s="1" t="s">
        <v>16</v>
      </c>
      <c r="B112" s="2" t="s">
        <v>1</v>
      </c>
      <c r="C112" s="38">
        <v>5</v>
      </c>
      <c r="D112" s="5" t="s">
        <v>33</v>
      </c>
      <c r="E112" s="5" t="s">
        <v>115</v>
      </c>
      <c r="F112" s="10" t="str">
        <f t="shared" si="2"/>
        <v>Alexandre Dantas</v>
      </c>
      <c r="G112" s="8">
        <v>43358</v>
      </c>
      <c r="H112" s="3" t="s">
        <v>11</v>
      </c>
      <c r="I112" s="4">
        <v>2500</v>
      </c>
      <c r="J112" s="30">
        <f t="shared" si="3"/>
        <v>12500</v>
      </c>
    </row>
    <row r="113" spans="1:10" x14ac:dyDescent="0.25">
      <c r="A113" s="1" t="s">
        <v>19</v>
      </c>
      <c r="B113" s="2" t="s">
        <v>20</v>
      </c>
      <c r="C113" s="38">
        <v>4</v>
      </c>
      <c r="D113" s="5" t="s">
        <v>70</v>
      </c>
      <c r="E113" s="5" t="s">
        <v>187</v>
      </c>
      <c r="F113" s="10" t="str">
        <f t="shared" si="2"/>
        <v>Bianca Ferezin</v>
      </c>
      <c r="G113" s="8">
        <v>43253</v>
      </c>
      <c r="H113" s="3" t="s">
        <v>9</v>
      </c>
      <c r="I113" s="4">
        <v>5300</v>
      </c>
      <c r="J113" s="30">
        <f t="shared" si="3"/>
        <v>21200</v>
      </c>
    </row>
    <row r="114" spans="1:10" x14ac:dyDescent="0.25">
      <c r="A114" s="1" t="s">
        <v>16</v>
      </c>
      <c r="B114" s="2" t="s">
        <v>1</v>
      </c>
      <c r="C114" s="38">
        <v>2</v>
      </c>
      <c r="D114" s="5" t="s">
        <v>188</v>
      </c>
      <c r="E114" s="5" t="s">
        <v>189</v>
      </c>
      <c r="F114" s="10" t="str">
        <f t="shared" si="2"/>
        <v>Roberta Pimenta</v>
      </c>
      <c r="G114" s="8">
        <v>43390</v>
      </c>
      <c r="H114" s="3" t="s">
        <v>6</v>
      </c>
      <c r="I114" s="4">
        <v>2500</v>
      </c>
      <c r="J114" s="30">
        <f t="shared" si="3"/>
        <v>5000</v>
      </c>
    </row>
    <row r="115" spans="1:10" x14ac:dyDescent="0.25">
      <c r="A115" s="1" t="s">
        <v>15</v>
      </c>
      <c r="B115" s="2" t="s">
        <v>2</v>
      </c>
      <c r="C115" s="38">
        <v>3</v>
      </c>
      <c r="D115" s="5" t="s">
        <v>50</v>
      </c>
      <c r="E115" s="5" t="s">
        <v>190</v>
      </c>
      <c r="F115" s="10" t="str">
        <f t="shared" si="2"/>
        <v>Caio Cardoso</v>
      </c>
      <c r="G115" s="8">
        <v>43269</v>
      </c>
      <c r="H115" s="3" t="s">
        <v>12</v>
      </c>
      <c r="I115" s="4">
        <v>1600</v>
      </c>
      <c r="J115" s="30">
        <f t="shared" si="3"/>
        <v>4800</v>
      </c>
    </row>
    <row r="116" spans="1:10" x14ac:dyDescent="0.25">
      <c r="A116" s="1" t="s">
        <v>23</v>
      </c>
      <c r="B116" s="2" t="s">
        <v>0</v>
      </c>
      <c r="C116" s="38">
        <v>1</v>
      </c>
      <c r="D116" s="5" t="s">
        <v>191</v>
      </c>
      <c r="E116" s="5" t="s">
        <v>192</v>
      </c>
      <c r="F116" s="10" t="str">
        <f t="shared" si="2"/>
        <v>Paola Abreu</v>
      </c>
      <c r="G116" s="8">
        <v>43314</v>
      </c>
      <c r="H116" s="3" t="s">
        <v>7</v>
      </c>
      <c r="I116" s="4">
        <v>3500</v>
      </c>
      <c r="J116" s="30">
        <f t="shared" si="3"/>
        <v>3500</v>
      </c>
    </row>
    <row r="117" spans="1:10" x14ac:dyDescent="0.25">
      <c r="A117" s="1" t="s">
        <v>23</v>
      </c>
      <c r="B117" s="2" t="s">
        <v>0</v>
      </c>
      <c r="C117" s="38">
        <v>1</v>
      </c>
      <c r="D117" s="5" t="s">
        <v>193</v>
      </c>
      <c r="E117" s="5" t="s">
        <v>151</v>
      </c>
      <c r="F117" s="10" t="str">
        <f t="shared" si="2"/>
        <v>Gustavo Gomes</v>
      </c>
      <c r="G117" s="8">
        <v>43287</v>
      </c>
      <c r="H117" s="3" t="s">
        <v>13</v>
      </c>
      <c r="I117" s="4">
        <v>3500</v>
      </c>
      <c r="J117" s="30">
        <f t="shared" si="3"/>
        <v>3500</v>
      </c>
    </row>
    <row r="118" spans="1:10" x14ac:dyDescent="0.25">
      <c r="A118" s="1" t="s">
        <v>21</v>
      </c>
      <c r="B118" s="2" t="s">
        <v>22</v>
      </c>
      <c r="C118" s="38">
        <v>3</v>
      </c>
      <c r="D118" s="5" t="s">
        <v>194</v>
      </c>
      <c r="E118" s="5" t="s">
        <v>195</v>
      </c>
      <c r="F118" s="10" t="str">
        <f t="shared" si="2"/>
        <v>Wilson Meirelles</v>
      </c>
      <c r="G118" s="8">
        <v>43259</v>
      </c>
      <c r="H118" s="3" t="s">
        <v>8</v>
      </c>
      <c r="I118" s="4">
        <v>3400</v>
      </c>
      <c r="J118" s="30">
        <f t="shared" si="3"/>
        <v>10200</v>
      </c>
    </row>
    <row r="119" spans="1:10" x14ac:dyDescent="0.25">
      <c r="A119" s="1" t="s">
        <v>23</v>
      </c>
      <c r="B119" s="2" t="s">
        <v>0</v>
      </c>
      <c r="C119" s="38">
        <v>3</v>
      </c>
      <c r="D119" s="5" t="s">
        <v>194</v>
      </c>
      <c r="E119" s="5" t="s">
        <v>146</v>
      </c>
      <c r="F119" s="10" t="str">
        <f t="shared" si="2"/>
        <v>Wilson Vianna</v>
      </c>
      <c r="G119" s="8">
        <v>43400</v>
      </c>
      <c r="H119" s="3" t="s">
        <v>11</v>
      </c>
      <c r="I119" s="4">
        <v>3500</v>
      </c>
      <c r="J119" s="30">
        <f t="shared" si="3"/>
        <v>10500</v>
      </c>
    </row>
    <row r="120" spans="1:10" x14ac:dyDescent="0.25">
      <c r="A120" s="1" t="s">
        <v>19</v>
      </c>
      <c r="B120" s="2" t="s">
        <v>20</v>
      </c>
      <c r="C120" s="38">
        <v>1</v>
      </c>
      <c r="D120" s="5" t="s">
        <v>108</v>
      </c>
      <c r="E120" s="5" t="s">
        <v>109</v>
      </c>
      <c r="F120" s="10" t="str">
        <f t="shared" si="2"/>
        <v>Raphael Guedes</v>
      </c>
      <c r="G120" s="8">
        <v>43293</v>
      </c>
      <c r="H120" s="3" t="s">
        <v>6</v>
      </c>
      <c r="I120" s="4">
        <v>5300</v>
      </c>
      <c r="J120" s="30">
        <f t="shared" si="3"/>
        <v>5300</v>
      </c>
    </row>
    <row r="121" spans="1:10" x14ac:dyDescent="0.25">
      <c r="A121" s="1" t="s">
        <v>17</v>
      </c>
      <c r="B121" s="2" t="s">
        <v>4</v>
      </c>
      <c r="C121" s="38">
        <v>2</v>
      </c>
      <c r="D121" s="5" t="s">
        <v>196</v>
      </c>
      <c r="E121" s="5" t="s">
        <v>197</v>
      </c>
      <c r="F121" s="10" t="str">
        <f t="shared" si="2"/>
        <v>Laura Araujo</v>
      </c>
      <c r="G121" s="8">
        <v>43452</v>
      </c>
      <c r="H121" s="3" t="s">
        <v>9</v>
      </c>
      <c r="I121" s="4">
        <v>2100</v>
      </c>
      <c r="J121" s="30">
        <f t="shared" si="3"/>
        <v>4200</v>
      </c>
    </row>
    <row r="122" spans="1:10" x14ac:dyDescent="0.25">
      <c r="A122" s="1" t="s">
        <v>15</v>
      </c>
      <c r="B122" s="2" t="s">
        <v>2</v>
      </c>
      <c r="C122" s="38">
        <v>4</v>
      </c>
      <c r="D122" s="5" t="s">
        <v>63</v>
      </c>
      <c r="E122" s="5" t="s">
        <v>53</v>
      </c>
      <c r="F122" s="10" t="str">
        <f t="shared" si="2"/>
        <v>Lucas Freire</v>
      </c>
      <c r="G122" s="8">
        <v>43113</v>
      </c>
      <c r="H122" s="3" t="s">
        <v>12</v>
      </c>
      <c r="I122" s="4">
        <v>1600</v>
      </c>
      <c r="J122" s="30">
        <f t="shared" si="3"/>
        <v>6400</v>
      </c>
    </row>
    <row r="123" spans="1:10" x14ac:dyDescent="0.25">
      <c r="A123" s="1" t="s">
        <v>16</v>
      </c>
      <c r="B123" s="2" t="s">
        <v>1</v>
      </c>
      <c r="C123" s="38">
        <v>1</v>
      </c>
      <c r="D123" s="5" t="s">
        <v>198</v>
      </c>
      <c r="E123" s="5" t="s">
        <v>199</v>
      </c>
      <c r="F123" s="10" t="str">
        <f t="shared" si="2"/>
        <v>David Assumpção</v>
      </c>
      <c r="G123" s="8">
        <v>43197</v>
      </c>
      <c r="H123" s="3" t="s">
        <v>6</v>
      </c>
      <c r="I123" s="4">
        <v>2500</v>
      </c>
      <c r="J123" s="30">
        <f t="shared" si="3"/>
        <v>2500</v>
      </c>
    </row>
    <row r="124" spans="1:10" x14ac:dyDescent="0.25">
      <c r="A124" s="1" t="s">
        <v>21</v>
      </c>
      <c r="B124" s="2" t="s">
        <v>22</v>
      </c>
      <c r="C124" s="38">
        <v>5</v>
      </c>
      <c r="D124" s="5" t="s">
        <v>117</v>
      </c>
      <c r="E124" s="5" t="s">
        <v>118</v>
      </c>
      <c r="F124" s="10" t="str">
        <f t="shared" si="2"/>
        <v>Marina Mesquita</v>
      </c>
      <c r="G124" s="8">
        <v>43147</v>
      </c>
      <c r="H124" s="3" t="s">
        <v>13</v>
      </c>
      <c r="I124" s="4">
        <v>3400</v>
      </c>
      <c r="J124" s="30">
        <f t="shared" si="3"/>
        <v>17000</v>
      </c>
    </row>
    <row r="125" spans="1:10" x14ac:dyDescent="0.25">
      <c r="A125" s="1" t="s">
        <v>17</v>
      </c>
      <c r="B125" s="2" t="s">
        <v>4</v>
      </c>
      <c r="C125" s="38">
        <v>3</v>
      </c>
      <c r="D125" s="5" t="s">
        <v>114</v>
      </c>
      <c r="E125" s="5" t="s">
        <v>200</v>
      </c>
      <c r="F125" s="10" t="str">
        <f t="shared" si="2"/>
        <v>Ana Michetti</v>
      </c>
      <c r="G125" s="8">
        <v>43231</v>
      </c>
      <c r="H125" s="3" t="s">
        <v>13</v>
      </c>
      <c r="I125" s="4">
        <v>2100</v>
      </c>
      <c r="J125" s="30">
        <f t="shared" si="3"/>
        <v>6300</v>
      </c>
    </row>
    <row r="126" spans="1:10" x14ac:dyDescent="0.25">
      <c r="A126" s="1" t="s">
        <v>14</v>
      </c>
      <c r="B126" s="2" t="s">
        <v>3</v>
      </c>
      <c r="C126" s="38">
        <v>5</v>
      </c>
      <c r="D126" s="5" t="s">
        <v>201</v>
      </c>
      <c r="E126" s="5" t="s">
        <v>148</v>
      </c>
      <c r="F126" s="10" t="str">
        <f t="shared" si="2"/>
        <v>Bárbara Lima</v>
      </c>
      <c r="G126" s="8">
        <v>43226</v>
      </c>
      <c r="H126" s="3" t="s">
        <v>10</v>
      </c>
      <c r="I126" s="4">
        <v>1400</v>
      </c>
      <c r="J126" s="30">
        <f t="shared" si="3"/>
        <v>7000</v>
      </c>
    </row>
    <row r="127" spans="1:10" x14ac:dyDescent="0.25">
      <c r="A127" s="1" t="s">
        <v>21</v>
      </c>
      <c r="B127" s="2" t="s">
        <v>22</v>
      </c>
      <c r="C127" s="38">
        <v>5</v>
      </c>
      <c r="D127" s="5" t="s">
        <v>202</v>
      </c>
      <c r="E127" s="5" t="s">
        <v>203</v>
      </c>
      <c r="F127" s="10" t="str">
        <f t="shared" si="2"/>
        <v>Diego Marchesi</v>
      </c>
      <c r="G127" s="8">
        <v>43431</v>
      </c>
      <c r="H127" s="3" t="s">
        <v>8</v>
      </c>
      <c r="I127" s="4">
        <v>3400</v>
      </c>
      <c r="J127" s="30">
        <f t="shared" si="3"/>
        <v>17000</v>
      </c>
    </row>
    <row r="128" spans="1:10" x14ac:dyDescent="0.25">
      <c r="A128" s="1" t="s">
        <v>16</v>
      </c>
      <c r="B128" s="2" t="s">
        <v>1</v>
      </c>
      <c r="C128" s="38">
        <v>5</v>
      </c>
      <c r="D128" s="5" t="s">
        <v>28</v>
      </c>
      <c r="E128" s="5" t="s">
        <v>204</v>
      </c>
      <c r="F128" s="10" t="str">
        <f t="shared" ref="F128:F192" si="4">CONCATENATE(D128, " ",E128)</f>
        <v>Bruno Ursulino</v>
      </c>
      <c r="G128" s="8">
        <v>43314</v>
      </c>
      <c r="H128" s="3" t="s">
        <v>8</v>
      </c>
      <c r="I128" s="4">
        <v>2500</v>
      </c>
      <c r="J128" s="30">
        <f t="shared" ref="J128:J192" si="5">PRODUCT(I128,C128)</f>
        <v>12500</v>
      </c>
    </row>
    <row r="129" spans="1:10" x14ac:dyDescent="0.25">
      <c r="A129" s="1" t="s">
        <v>21</v>
      </c>
      <c r="B129" s="2" t="s">
        <v>22</v>
      </c>
      <c r="C129" s="38">
        <v>5</v>
      </c>
      <c r="D129" s="5" t="s">
        <v>50</v>
      </c>
      <c r="E129" s="5" t="s">
        <v>94</v>
      </c>
      <c r="F129" s="10" t="str">
        <f t="shared" si="4"/>
        <v>Caio Fernandes</v>
      </c>
      <c r="G129" s="8">
        <v>43306</v>
      </c>
      <c r="H129" s="3" t="s">
        <v>12</v>
      </c>
      <c r="I129" s="4">
        <v>3400</v>
      </c>
      <c r="J129" s="30">
        <f t="shared" si="5"/>
        <v>17000</v>
      </c>
    </row>
    <row r="130" spans="1:10" x14ac:dyDescent="0.25">
      <c r="A130" s="1" t="s">
        <v>19</v>
      </c>
      <c r="B130" s="2" t="s">
        <v>20</v>
      </c>
      <c r="C130" s="38">
        <v>3</v>
      </c>
      <c r="D130" s="5" t="s">
        <v>205</v>
      </c>
      <c r="E130" s="5" t="s">
        <v>184</v>
      </c>
      <c r="F130" s="10" t="str">
        <f t="shared" si="4"/>
        <v>Rilson Dias</v>
      </c>
      <c r="G130" s="8">
        <v>43258</v>
      </c>
      <c r="H130" s="3" t="s">
        <v>18</v>
      </c>
      <c r="I130" s="4">
        <v>5300</v>
      </c>
      <c r="J130" s="30">
        <f t="shared" si="5"/>
        <v>15900</v>
      </c>
    </row>
    <row r="131" spans="1:10" x14ac:dyDescent="0.25">
      <c r="A131" s="1" t="s">
        <v>14</v>
      </c>
      <c r="B131" s="2" t="s">
        <v>3</v>
      </c>
      <c r="C131" s="38">
        <v>3</v>
      </c>
      <c r="D131" s="5" t="s">
        <v>132</v>
      </c>
      <c r="E131" s="5" t="s">
        <v>206</v>
      </c>
      <c r="F131" s="10" t="str">
        <f t="shared" si="4"/>
        <v>Carlos Barbosa</v>
      </c>
      <c r="G131" s="8">
        <v>43157</v>
      </c>
      <c r="H131" s="3" t="s">
        <v>11</v>
      </c>
      <c r="I131" s="4">
        <v>1400</v>
      </c>
      <c r="J131" s="30">
        <f t="shared" si="5"/>
        <v>4200</v>
      </c>
    </row>
    <row r="132" spans="1:10" x14ac:dyDescent="0.25">
      <c r="A132" s="1" t="s">
        <v>19</v>
      </c>
      <c r="B132" s="2" t="s">
        <v>20</v>
      </c>
      <c r="C132" s="38">
        <v>4</v>
      </c>
      <c r="D132" s="5" t="s">
        <v>113</v>
      </c>
      <c r="E132" s="5" t="s">
        <v>51</v>
      </c>
      <c r="F132" s="10" t="str">
        <f t="shared" si="4"/>
        <v>Kim Ferreira</v>
      </c>
      <c r="G132" s="8">
        <v>43231</v>
      </c>
      <c r="H132" s="3" t="s">
        <v>12</v>
      </c>
      <c r="I132" s="4">
        <v>5300</v>
      </c>
      <c r="J132" s="30">
        <f t="shared" si="5"/>
        <v>21200</v>
      </c>
    </row>
    <row r="133" spans="1:10" x14ac:dyDescent="0.25">
      <c r="A133" s="1" t="s">
        <v>21</v>
      </c>
      <c r="B133" s="2" t="s">
        <v>22</v>
      </c>
      <c r="C133" s="38">
        <v>1</v>
      </c>
      <c r="D133" s="5" t="s">
        <v>42</v>
      </c>
      <c r="E133" s="5" t="s">
        <v>207</v>
      </c>
      <c r="F133" s="10" t="str">
        <f t="shared" si="4"/>
        <v>Rafael Portela</v>
      </c>
      <c r="G133" s="8">
        <v>43182</v>
      </c>
      <c r="H133" s="3" t="s">
        <v>13</v>
      </c>
      <c r="I133" s="4">
        <v>3400</v>
      </c>
      <c r="J133" s="30">
        <f t="shared" si="5"/>
        <v>3400</v>
      </c>
    </row>
    <row r="134" spans="1:10" x14ac:dyDescent="0.25">
      <c r="A134" s="1" t="s">
        <v>16</v>
      </c>
      <c r="B134" s="2" t="s">
        <v>1</v>
      </c>
      <c r="C134" s="38">
        <v>4</v>
      </c>
      <c r="D134" s="5" t="s">
        <v>83</v>
      </c>
      <c r="E134" s="5" t="s">
        <v>43</v>
      </c>
      <c r="F134" s="10" t="str">
        <f t="shared" si="4"/>
        <v>Beatriz Rocha</v>
      </c>
      <c r="G134" s="8">
        <v>43396</v>
      </c>
      <c r="H134" s="3" t="s">
        <v>12</v>
      </c>
      <c r="I134" s="4">
        <v>2500</v>
      </c>
      <c r="J134" s="30">
        <f t="shared" si="5"/>
        <v>10000</v>
      </c>
    </row>
    <row r="135" spans="1:10" x14ac:dyDescent="0.25">
      <c r="A135" s="1" t="s">
        <v>19</v>
      </c>
      <c r="B135" s="2" t="s">
        <v>20</v>
      </c>
      <c r="C135" s="38">
        <v>3</v>
      </c>
      <c r="D135" s="5" t="s">
        <v>188</v>
      </c>
      <c r="E135" s="5" t="s">
        <v>208</v>
      </c>
      <c r="F135" s="10" t="str">
        <f t="shared" si="4"/>
        <v>Roberta Nogueira</v>
      </c>
      <c r="G135" s="8">
        <v>43390</v>
      </c>
      <c r="H135" s="3" t="s">
        <v>11</v>
      </c>
      <c r="I135" s="4">
        <v>5300</v>
      </c>
      <c r="J135" s="30">
        <f t="shared" si="5"/>
        <v>15900</v>
      </c>
    </row>
    <row r="136" spans="1:10" x14ac:dyDescent="0.25">
      <c r="A136" s="1" t="s">
        <v>15</v>
      </c>
      <c r="B136" s="2" t="s">
        <v>2</v>
      </c>
      <c r="C136" s="38">
        <v>3</v>
      </c>
      <c r="D136" s="5" t="s">
        <v>70</v>
      </c>
      <c r="E136" s="5" t="s">
        <v>187</v>
      </c>
      <c r="F136" s="10" t="str">
        <f t="shared" si="4"/>
        <v>Bianca Ferezin</v>
      </c>
      <c r="G136" s="8">
        <v>43125</v>
      </c>
      <c r="H136" s="3" t="s">
        <v>13</v>
      </c>
      <c r="I136" s="4">
        <v>1600</v>
      </c>
      <c r="J136" s="30">
        <f t="shared" si="5"/>
        <v>4800</v>
      </c>
    </row>
    <row r="137" spans="1:10" x14ac:dyDescent="0.25">
      <c r="A137" s="1" t="s">
        <v>23</v>
      </c>
      <c r="B137" s="2" t="s">
        <v>0</v>
      </c>
      <c r="C137" s="38">
        <v>2</v>
      </c>
      <c r="D137" s="5" t="s">
        <v>63</v>
      </c>
      <c r="E137" s="5" t="s">
        <v>129</v>
      </c>
      <c r="F137" s="10" t="str">
        <f t="shared" si="4"/>
        <v>Lucas Costa</v>
      </c>
      <c r="G137" s="8">
        <v>43458</v>
      </c>
      <c r="H137" s="3" t="s">
        <v>18</v>
      </c>
      <c r="I137" s="4">
        <v>3500</v>
      </c>
      <c r="J137" s="30">
        <f t="shared" si="5"/>
        <v>7000</v>
      </c>
    </row>
    <row r="138" spans="1:10" x14ac:dyDescent="0.25">
      <c r="A138" s="1" t="s">
        <v>16</v>
      </c>
      <c r="B138" s="2" t="s">
        <v>1</v>
      </c>
      <c r="C138" s="38">
        <v>2</v>
      </c>
      <c r="D138" s="5" t="s">
        <v>56</v>
      </c>
      <c r="E138" s="5" t="s">
        <v>51</v>
      </c>
      <c r="F138" s="10" t="str">
        <f t="shared" si="4"/>
        <v>Leandro Ferreira</v>
      </c>
      <c r="G138" s="8">
        <v>43125</v>
      </c>
      <c r="H138" s="3" t="s">
        <v>12</v>
      </c>
      <c r="I138" s="4">
        <v>2500</v>
      </c>
      <c r="J138" s="30">
        <f t="shared" si="5"/>
        <v>5000</v>
      </c>
    </row>
    <row r="139" spans="1:10" x14ac:dyDescent="0.25">
      <c r="A139" s="1" t="s">
        <v>16</v>
      </c>
      <c r="B139" s="2" t="s">
        <v>1</v>
      </c>
      <c r="C139" s="38">
        <v>3</v>
      </c>
      <c r="D139" s="5" t="s">
        <v>130</v>
      </c>
      <c r="E139" s="5" t="s">
        <v>32</v>
      </c>
      <c r="F139" s="10" t="str">
        <f t="shared" si="4"/>
        <v>Bernardo Souza</v>
      </c>
      <c r="G139" s="8">
        <v>43366</v>
      </c>
      <c r="H139" s="3" t="s">
        <v>9</v>
      </c>
      <c r="I139" s="4">
        <v>2500</v>
      </c>
      <c r="J139" s="30">
        <f t="shared" si="5"/>
        <v>7500</v>
      </c>
    </row>
    <row r="140" spans="1:10" x14ac:dyDescent="0.25">
      <c r="A140" s="1" t="s">
        <v>19</v>
      </c>
      <c r="B140" s="2" t="s">
        <v>20</v>
      </c>
      <c r="C140" s="38">
        <v>3</v>
      </c>
      <c r="D140" s="5" t="s">
        <v>29</v>
      </c>
      <c r="E140" s="5" t="s">
        <v>209</v>
      </c>
      <c r="F140" s="10" t="str">
        <f t="shared" si="4"/>
        <v>Eduardo Nunes</v>
      </c>
      <c r="G140" s="8">
        <v>43392</v>
      </c>
      <c r="H140" s="3" t="s">
        <v>18</v>
      </c>
      <c r="I140" s="4">
        <v>5300</v>
      </c>
      <c r="J140" s="30">
        <f t="shared" si="5"/>
        <v>15900</v>
      </c>
    </row>
    <row r="141" spans="1:10" x14ac:dyDescent="0.25">
      <c r="A141" s="1" t="s">
        <v>14</v>
      </c>
      <c r="B141" s="2" t="s">
        <v>3</v>
      </c>
      <c r="C141" s="38">
        <v>1</v>
      </c>
      <c r="D141" s="5" t="s">
        <v>74</v>
      </c>
      <c r="E141" s="5" t="s">
        <v>57</v>
      </c>
      <c r="F141" s="10" t="str">
        <f t="shared" si="4"/>
        <v>Pedro Rodrigues</v>
      </c>
      <c r="G141" s="8">
        <v>43213</v>
      </c>
      <c r="H141" s="3" t="s">
        <v>11</v>
      </c>
      <c r="I141" s="4">
        <v>1400</v>
      </c>
      <c r="J141" s="30">
        <f t="shared" si="5"/>
        <v>1400</v>
      </c>
    </row>
    <row r="142" spans="1:10" x14ac:dyDescent="0.25">
      <c r="A142" s="1" t="s">
        <v>16</v>
      </c>
      <c r="B142" s="2" t="s">
        <v>1</v>
      </c>
      <c r="C142" s="38">
        <v>5</v>
      </c>
      <c r="D142" s="5" t="s">
        <v>210</v>
      </c>
      <c r="E142" s="5" t="s">
        <v>149</v>
      </c>
      <c r="F142" s="10" t="str">
        <f t="shared" si="4"/>
        <v>Fernanda Junior</v>
      </c>
      <c r="G142" s="8">
        <v>43289</v>
      </c>
      <c r="H142" s="3" t="s">
        <v>13</v>
      </c>
      <c r="I142" s="4">
        <v>2500</v>
      </c>
      <c r="J142" s="30">
        <f t="shared" si="5"/>
        <v>12500</v>
      </c>
    </row>
    <row r="143" spans="1:10" x14ac:dyDescent="0.25">
      <c r="A143" s="1" t="s">
        <v>17</v>
      </c>
      <c r="B143" s="2" t="s">
        <v>4</v>
      </c>
      <c r="C143" s="38">
        <v>3</v>
      </c>
      <c r="D143" s="5" t="s">
        <v>211</v>
      </c>
      <c r="E143" s="5" t="s">
        <v>94</v>
      </c>
      <c r="F143" s="10" t="str">
        <f t="shared" si="4"/>
        <v>Juan Fernandes</v>
      </c>
      <c r="G143" s="8">
        <v>43187</v>
      </c>
      <c r="H143" s="3" t="s">
        <v>10</v>
      </c>
      <c r="I143" s="4">
        <v>2100</v>
      </c>
      <c r="J143" s="30">
        <f t="shared" si="5"/>
        <v>6300</v>
      </c>
    </row>
    <row r="144" spans="1:10" x14ac:dyDescent="0.25">
      <c r="A144" s="1" t="s">
        <v>21</v>
      </c>
      <c r="B144" s="2" t="s">
        <v>22</v>
      </c>
      <c r="C144" s="38">
        <v>3</v>
      </c>
      <c r="D144" s="5" t="s">
        <v>87</v>
      </c>
      <c r="E144" s="5" t="s">
        <v>89</v>
      </c>
      <c r="F144" s="10" t="str">
        <f t="shared" si="4"/>
        <v>Rodrigo Alves</v>
      </c>
      <c r="G144" s="8">
        <v>43333</v>
      </c>
      <c r="H144" s="3" t="s">
        <v>13</v>
      </c>
      <c r="I144" s="4">
        <v>3400</v>
      </c>
      <c r="J144" s="30">
        <f t="shared" si="5"/>
        <v>10200</v>
      </c>
    </row>
    <row r="145" spans="1:10" x14ac:dyDescent="0.25">
      <c r="A145" s="1" t="s">
        <v>19</v>
      </c>
      <c r="B145" s="2" t="s">
        <v>20</v>
      </c>
      <c r="C145" s="38">
        <v>1</v>
      </c>
      <c r="D145" s="5" t="s">
        <v>212</v>
      </c>
      <c r="E145" s="5" t="s">
        <v>213</v>
      </c>
      <c r="F145" s="10" t="str">
        <f t="shared" si="4"/>
        <v>Thomáz Bôas</v>
      </c>
      <c r="G145" s="8">
        <v>43303</v>
      </c>
      <c r="H145" s="3" t="s">
        <v>12</v>
      </c>
      <c r="I145" s="4">
        <v>5300</v>
      </c>
      <c r="J145" s="30">
        <f t="shared" si="5"/>
        <v>5300</v>
      </c>
    </row>
    <row r="146" spans="1:10" x14ac:dyDescent="0.25">
      <c r="A146" s="1" t="s">
        <v>14</v>
      </c>
      <c r="B146" s="2" t="s">
        <v>3</v>
      </c>
      <c r="C146" s="38">
        <v>5</v>
      </c>
      <c r="D146" s="5" t="s">
        <v>214</v>
      </c>
      <c r="E146" s="5" t="s">
        <v>215</v>
      </c>
      <c r="F146" s="10" t="str">
        <f t="shared" si="4"/>
        <v>Andreza Ramos</v>
      </c>
      <c r="G146" s="8">
        <v>43119</v>
      </c>
      <c r="H146" s="3" t="s">
        <v>18</v>
      </c>
      <c r="I146" s="4">
        <v>1400</v>
      </c>
      <c r="J146" s="30">
        <f t="shared" si="5"/>
        <v>7000</v>
      </c>
    </row>
    <row r="147" spans="1:10" x14ac:dyDescent="0.25">
      <c r="A147" s="1" t="s">
        <v>23</v>
      </c>
      <c r="B147" s="2" t="s">
        <v>0</v>
      </c>
      <c r="C147" s="38">
        <v>4</v>
      </c>
      <c r="D147" s="5" t="s">
        <v>66</v>
      </c>
      <c r="E147" s="5" t="s">
        <v>67</v>
      </c>
      <c r="F147" s="10" t="str">
        <f t="shared" si="4"/>
        <v>Carla Zakhm</v>
      </c>
      <c r="G147" s="8">
        <v>43125</v>
      </c>
      <c r="H147" s="3" t="s">
        <v>13</v>
      </c>
      <c r="I147" s="4">
        <v>3500</v>
      </c>
      <c r="J147" s="30">
        <f t="shared" si="5"/>
        <v>14000</v>
      </c>
    </row>
    <row r="148" spans="1:10" x14ac:dyDescent="0.25">
      <c r="A148" s="1" t="s">
        <v>15</v>
      </c>
      <c r="B148" s="2" t="s">
        <v>2</v>
      </c>
      <c r="C148" s="38">
        <v>2</v>
      </c>
      <c r="D148" s="5" t="s">
        <v>216</v>
      </c>
      <c r="E148" s="5" t="s">
        <v>217</v>
      </c>
      <c r="F148" s="10" t="str">
        <f t="shared" si="4"/>
        <v>Gabrielle Porto</v>
      </c>
      <c r="G148" s="8">
        <v>43213</v>
      </c>
      <c r="H148" s="3" t="s">
        <v>10</v>
      </c>
      <c r="I148" s="4">
        <v>1600</v>
      </c>
      <c r="J148" s="30">
        <f t="shared" si="5"/>
        <v>3200</v>
      </c>
    </row>
    <row r="149" spans="1:10" x14ac:dyDescent="0.25">
      <c r="A149" s="1" t="s">
        <v>15</v>
      </c>
      <c r="B149" s="2" t="s">
        <v>2</v>
      </c>
      <c r="C149" s="38">
        <v>4</v>
      </c>
      <c r="D149" s="5" t="s">
        <v>218</v>
      </c>
      <c r="E149" s="5" t="s">
        <v>219</v>
      </c>
      <c r="F149" s="10" t="str">
        <f t="shared" si="4"/>
        <v>Kimberly Sad</v>
      </c>
      <c r="G149" s="8">
        <v>43230</v>
      </c>
      <c r="H149" s="3" t="s">
        <v>8</v>
      </c>
      <c r="I149" s="4">
        <v>1600</v>
      </c>
      <c r="J149" s="30">
        <f t="shared" si="5"/>
        <v>6400</v>
      </c>
    </row>
    <row r="150" spans="1:10" x14ac:dyDescent="0.25">
      <c r="A150" s="1" t="s">
        <v>14</v>
      </c>
      <c r="B150" s="2" t="s">
        <v>3</v>
      </c>
      <c r="C150" s="38">
        <v>1</v>
      </c>
      <c r="D150" s="5" t="s">
        <v>85</v>
      </c>
      <c r="E150" s="5" t="s">
        <v>220</v>
      </c>
      <c r="F150" s="10" t="str">
        <f t="shared" si="4"/>
        <v>João Capitulo</v>
      </c>
      <c r="G150" s="8">
        <v>43157</v>
      </c>
      <c r="H150" s="3" t="s">
        <v>9</v>
      </c>
      <c r="I150" s="4">
        <v>1400</v>
      </c>
      <c r="J150" s="30">
        <f t="shared" si="5"/>
        <v>1400</v>
      </c>
    </row>
    <row r="151" spans="1:10" x14ac:dyDescent="0.25">
      <c r="A151" s="1" t="s">
        <v>17</v>
      </c>
      <c r="B151" s="2" t="s">
        <v>4</v>
      </c>
      <c r="C151" s="38">
        <v>1</v>
      </c>
      <c r="D151" s="5" t="s">
        <v>117</v>
      </c>
      <c r="E151" s="5" t="s">
        <v>221</v>
      </c>
      <c r="F151" s="10" t="str">
        <f t="shared" si="4"/>
        <v>Marina Marins</v>
      </c>
      <c r="G151" s="8">
        <v>43123</v>
      </c>
      <c r="H151" s="3" t="s">
        <v>8</v>
      </c>
      <c r="I151" s="4">
        <v>2100</v>
      </c>
      <c r="J151" s="30">
        <f t="shared" si="5"/>
        <v>2100</v>
      </c>
    </row>
    <row r="152" spans="1:10" x14ac:dyDescent="0.25">
      <c r="A152" s="1" t="s">
        <v>17</v>
      </c>
      <c r="B152" s="2" t="s">
        <v>4</v>
      </c>
      <c r="C152" s="38">
        <v>1</v>
      </c>
      <c r="D152" s="5" t="s">
        <v>169</v>
      </c>
      <c r="E152" s="5" t="s">
        <v>222</v>
      </c>
      <c r="F152" s="10" t="str">
        <f t="shared" si="4"/>
        <v>Aline Morais</v>
      </c>
      <c r="G152" s="8">
        <v>43357</v>
      </c>
      <c r="H152" s="3" t="s">
        <v>6</v>
      </c>
      <c r="I152" s="4">
        <v>2100</v>
      </c>
      <c r="J152" s="30">
        <f t="shared" si="5"/>
        <v>2100</v>
      </c>
    </row>
    <row r="153" spans="1:10" x14ac:dyDescent="0.25">
      <c r="A153" s="1" t="s">
        <v>23</v>
      </c>
      <c r="B153" s="2" t="s">
        <v>0</v>
      </c>
      <c r="C153" s="38">
        <v>1</v>
      </c>
      <c r="D153" s="5" t="s">
        <v>85</v>
      </c>
      <c r="E153" s="5" t="s">
        <v>47</v>
      </c>
      <c r="F153" s="10" t="str">
        <f t="shared" si="4"/>
        <v>João Monteiro</v>
      </c>
      <c r="G153" s="8">
        <v>43133</v>
      </c>
      <c r="H153" s="3" t="s">
        <v>13</v>
      </c>
      <c r="I153" s="4">
        <v>3500</v>
      </c>
      <c r="J153" s="30">
        <f t="shared" si="5"/>
        <v>3500</v>
      </c>
    </row>
    <row r="154" spans="1:10" x14ac:dyDescent="0.25">
      <c r="A154" s="1" t="s">
        <v>23</v>
      </c>
      <c r="B154" s="2" t="s">
        <v>0</v>
      </c>
      <c r="C154" s="38">
        <v>4</v>
      </c>
      <c r="D154" s="5" t="s">
        <v>117</v>
      </c>
      <c r="E154" s="5" t="s">
        <v>223</v>
      </c>
      <c r="F154" s="10" t="str">
        <f t="shared" si="4"/>
        <v>Marina Delgado</v>
      </c>
      <c r="G154" s="8">
        <v>43230</v>
      </c>
      <c r="H154" s="3" t="s">
        <v>7</v>
      </c>
      <c r="I154" s="4">
        <v>3500</v>
      </c>
      <c r="J154" s="30">
        <f t="shared" si="5"/>
        <v>14000</v>
      </c>
    </row>
    <row r="155" spans="1:10" x14ac:dyDescent="0.25">
      <c r="A155" s="1" t="s">
        <v>15</v>
      </c>
      <c r="B155" s="2" t="s">
        <v>2</v>
      </c>
      <c r="C155" s="38">
        <v>1</v>
      </c>
      <c r="D155" s="5" t="s">
        <v>224</v>
      </c>
      <c r="E155" s="5" t="s">
        <v>225</v>
      </c>
      <c r="F155" s="10" t="str">
        <f t="shared" si="4"/>
        <v>Sthefeson Barroso</v>
      </c>
      <c r="G155" s="8">
        <v>43168</v>
      </c>
      <c r="H155" s="3" t="s">
        <v>13</v>
      </c>
      <c r="I155" s="4">
        <v>1600</v>
      </c>
      <c r="J155" s="30">
        <f t="shared" si="5"/>
        <v>1600</v>
      </c>
    </row>
    <row r="156" spans="1:10" x14ac:dyDescent="0.25">
      <c r="A156" s="1" t="s">
        <v>16</v>
      </c>
      <c r="B156" s="2" t="s">
        <v>1</v>
      </c>
      <c r="C156" s="38">
        <v>4</v>
      </c>
      <c r="D156" s="5" t="s">
        <v>144</v>
      </c>
      <c r="E156" s="5" t="s">
        <v>145</v>
      </c>
      <c r="F156" s="10" t="str">
        <f t="shared" si="4"/>
        <v>Marcelo Guadagnino</v>
      </c>
      <c r="G156" s="8">
        <v>43304</v>
      </c>
      <c r="H156" s="3" t="s">
        <v>18</v>
      </c>
      <c r="I156" s="4">
        <v>2500</v>
      </c>
      <c r="J156" s="30">
        <f t="shared" si="5"/>
        <v>10000</v>
      </c>
    </row>
    <row r="157" spans="1:10" x14ac:dyDescent="0.25">
      <c r="A157" s="1" t="s">
        <v>19</v>
      </c>
      <c r="B157" s="2" t="s">
        <v>20</v>
      </c>
      <c r="C157" s="38">
        <v>1</v>
      </c>
      <c r="D157" s="5" t="s">
        <v>226</v>
      </c>
      <c r="E157" s="5" t="s">
        <v>57</v>
      </c>
      <c r="F157" s="10" t="str">
        <f t="shared" si="4"/>
        <v>Thais Rodrigues</v>
      </c>
      <c r="G157" s="8">
        <v>43182</v>
      </c>
      <c r="H157" s="3" t="s">
        <v>6</v>
      </c>
      <c r="I157" s="4">
        <v>5300</v>
      </c>
      <c r="J157" s="30">
        <f t="shared" si="5"/>
        <v>5300</v>
      </c>
    </row>
    <row r="158" spans="1:10" x14ac:dyDescent="0.25">
      <c r="A158" s="1" t="s">
        <v>21</v>
      </c>
      <c r="B158" s="2" t="s">
        <v>22</v>
      </c>
      <c r="C158" s="38">
        <v>4</v>
      </c>
      <c r="D158" s="5" t="s">
        <v>227</v>
      </c>
      <c r="E158" s="5" t="s">
        <v>228</v>
      </c>
      <c r="F158" s="10" t="str">
        <f t="shared" si="4"/>
        <v>Philipe Morete</v>
      </c>
      <c r="G158" s="8">
        <v>43391</v>
      </c>
      <c r="H158" s="3" t="s">
        <v>12</v>
      </c>
      <c r="I158" s="4">
        <v>3400</v>
      </c>
      <c r="J158" s="30">
        <f t="shared" si="5"/>
        <v>13600</v>
      </c>
    </row>
    <row r="159" spans="1:10" x14ac:dyDescent="0.25">
      <c r="A159" s="1" t="s">
        <v>16</v>
      </c>
      <c r="B159" s="2" t="s">
        <v>1</v>
      </c>
      <c r="C159" s="38">
        <v>2</v>
      </c>
      <c r="D159" s="5" t="s">
        <v>229</v>
      </c>
      <c r="E159" s="5" t="s">
        <v>230</v>
      </c>
      <c r="F159" s="10" t="str">
        <f t="shared" si="4"/>
        <v>Ravena Bhering</v>
      </c>
      <c r="G159" s="8">
        <v>43428</v>
      </c>
      <c r="H159" s="3" t="s">
        <v>11</v>
      </c>
      <c r="I159" s="4">
        <v>2500</v>
      </c>
      <c r="J159" s="30">
        <f t="shared" si="5"/>
        <v>5000</v>
      </c>
    </row>
    <row r="160" spans="1:10" x14ac:dyDescent="0.25">
      <c r="A160" s="1" t="s">
        <v>17</v>
      </c>
      <c r="B160" s="2" t="s">
        <v>4</v>
      </c>
      <c r="C160" s="38">
        <v>2</v>
      </c>
      <c r="D160" s="5" t="s">
        <v>231</v>
      </c>
      <c r="E160" s="5" t="s">
        <v>232</v>
      </c>
      <c r="F160" s="10" t="str">
        <f t="shared" si="4"/>
        <v>Patrícia Amaral</v>
      </c>
      <c r="G160" s="8">
        <v>43252</v>
      </c>
      <c r="H160" s="3" t="s">
        <v>13</v>
      </c>
      <c r="I160" s="4">
        <v>2100</v>
      </c>
      <c r="J160" s="30">
        <f t="shared" si="5"/>
        <v>4200</v>
      </c>
    </row>
    <row r="161" spans="1:10" x14ac:dyDescent="0.25">
      <c r="A161" s="1" t="s">
        <v>19</v>
      </c>
      <c r="B161" s="2" t="s">
        <v>20</v>
      </c>
      <c r="C161" s="38">
        <v>3</v>
      </c>
      <c r="D161" s="5" t="s">
        <v>202</v>
      </c>
      <c r="E161" s="5" t="s">
        <v>57</v>
      </c>
      <c r="F161" s="10" t="str">
        <f t="shared" si="4"/>
        <v>Diego Rodrigues</v>
      </c>
      <c r="G161" s="8">
        <v>43152</v>
      </c>
      <c r="H161" s="3" t="s">
        <v>13</v>
      </c>
      <c r="I161" s="4">
        <v>5300</v>
      </c>
      <c r="J161" s="30">
        <f t="shared" si="5"/>
        <v>15900</v>
      </c>
    </row>
    <row r="162" spans="1:10" x14ac:dyDescent="0.25">
      <c r="A162" s="1" t="s">
        <v>19</v>
      </c>
      <c r="B162" s="2" t="s">
        <v>20</v>
      </c>
      <c r="C162" s="38">
        <v>3</v>
      </c>
      <c r="D162" s="5" t="s">
        <v>61</v>
      </c>
      <c r="E162" s="5" t="s">
        <v>62</v>
      </c>
      <c r="F162" s="10" t="str">
        <f t="shared" si="4"/>
        <v>Katharina Barros</v>
      </c>
      <c r="G162" s="8">
        <v>43171</v>
      </c>
      <c r="H162" s="3" t="s">
        <v>18</v>
      </c>
      <c r="I162" s="4">
        <v>5300</v>
      </c>
      <c r="J162" s="30">
        <f t="shared" si="5"/>
        <v>15900</v>
      </c>
    </row>
    <row r="163" spans="1:10" x14ac:dyDescent="0.25">
      <c r="A163" s="1" t="s">
        <v>16</v>
      </c>
      <c r="B163" s="2" t="s">
        <v>1</v>
      </c>
      <c r="C163" s="38">
        <v>3</v>
      </c>
      <c r="D163" s="5" t="s">
        <v>233</v>
      </c>
      <c r="E163" s="5" t="s">
        <v>234</v>
      </c>
      <c r="F163" s="10" t="str">
        <f t="shared" si="4"/>
        <v>Felipe Jorge</v>
      </c>
      <c r="G163" s="8">
        <v>43291</v>
      </c>
      <c r="H163" s="3" t="s">
        <v>12</v>
      </c>
      <c r="I163" s="4">
        <v>2500</v>
      </c>
      <c r="J163" s="30">
        <f t="shared" si="5"/>
        <v>7500</v>
      </c>
    </row>
    <row r="164" spans="1:10" x14ac:dyDescent="0.25">
      <c r="A164" s="1" t="s">
        <v>19</v>
      </c>
      <c r="B164" s="2" t="s">
        <v>20</v>
      </c>
      <c r="C164" s="38">
        <v>3</v>
      </c>
      <c r="D164" s="5" t="s">
        <v>235</v>
      </c>
      <c r="E164" s="5" t="s">
        <v>51</v>
      </c>
      <c r="F164" s="10" t="str">
        <f t="shared" si="4"/>
        <v>Rafaela Ferreira</v>
      </c>
      <c r="G164" s="8">
        <v>43453</v>
      </c>
      <c r="H164" s="3" t="s">
        <v>18</v>
      </c>
      <c r="I164" s="4">
        <v>5300</v>
      </c>
      <c r="J164" s="30">
        <f t="shared" si="5"/>
        <v>15900</v>
      </c>
    </row>
    <row r="165" spans="1:10" x14ac:dyDescent="0.25">
      <c r="A165" s="1" t="s">
        <v>15</v>
      </c>
      <c r="B165" s="2" t="s">
        <v>2</v>
      </c>
      <c r="C165" s="38">
        <v>5</v>
      </c>
      <c r="D165" s="5" t="s">
        <v>236</v>
      </c>
      <c r="E165" s="5" t="s">
        <v>151</v>
      </c>
      <c r="F165" s="10" t="str">
        <f t="shared" si="4"/>
        <v>Bruna Gomes</v>
      </c>
      <c r="G165" s="8">
        <v>43334</v>
      </c>
      <c r="H165" s="3" t="s">
        <v>11</v>
      </c>
      <c r="I165" s="4">
        <v>1600</v>
      </c>
      <c r="J165" s="30">
        <f t="shared" si="5"/>
        <v>8000</v>
      </c>
    </row>
    <row r="166" spans="1:10" x14ac:dyDescent="0.25">
      <c r="A166" s="1" t="s">
        <v>16</v>
      </c>
      <c r="B166" s="2" t="s">
        <v>1</v>
      </c>
      <c r="C166" s="38">
        <v>3</v>
      </c>
      <c r="D166" s="5" t="s">
        <v>85</v>
      </c>
      <c r="E166" s="5" t="s">
        <v>57</v>
      </c>
      <c r="F166" s="10" t="str">
        <f t="shared" si="4"/>
        <v>João Rodrigues</v>
      </c>
      <c r="G166" s="8">
        <v>43125</v>
      </c>
      <c r="H166" s="3" t="s">
        <v>6</v>
      </c>
      <c r="I166" s="4">
        <v>2500</v>
      </c>
      <c r="J166" s="30">
        <f t="shared" si="5"/>
        <v>7500</v>
      </c>
    </row>
    <row r="167" spans="1:10" x14ac:dyDescent="0.25">
      <c r="A167" s="1" t="s">
        <v>19</v>
      </c>
      <c r="B167" s="2" t="s">
        <v>20</v>
      </c>
      <c r="C167" s="38">
        <v>5</v>
      </c>
      <c r="D167" s="5" t="s">
        <v>140</v>
      </c>
      <c r="E167" s="5" t="s">
        <v>141</v>
      </c>
      <c r="F167" s="10" t="str">
        <f t="shared" si="4"/>
        <v>Stephanie Gonçalves</v>
      </c>
      <c r="G167" s="8">
        <v>43435</v>
      </c>
      <c r="H167" s="3" t="s">
        <v>6</v>
      </c>
      <c r="I167" s="4">
        <v>5300</v>
      </c>
      <c r="J167" s="30">
        <f t="shared" si="5"/>
        <v>26500</v>
      </c>
    </row>
    <row r="168" spans="1:10" x14ac:dyDescent="0.25">
      <c r="A168" s="1" t="s">
        <v>21</v>
      </c>
      <c r="B168" s="2" t="s">
        <v>22</v>
      </c>
      <c r="C168" s="38">
        <v>4</v>
      </c>
      <c r="D168" s="5" t="s">
        <v>237</v>
      </c>
      <c r="E168" s="5" t="s">
        <v>238</v>
      </c>
      <c r="F168" s="10" t="str">
        <f t="shared" si="4"/>
        <v>Gabriella Sagrillo</v>
      </c>
      <c r="G168" s="8">
        <v>43305</v>
      </c>
      <c r="H168" s="3" t="s">
        <v>18</v>
      </c>
      <c r="I168" s="4">
        <v>3400</v>
      </c>
      <c r="J168" s="30">
        <f t="shared" si="5"/>
        <v>13600</v>
      </c>
    </row>
    <row r="169" spans="1:10" x14ac:dyDescent="0.25">
      <c r="A169" s="1" t="s">
        <v>15</v>
      </c>
      <c r="B169" s="2" t="s">
        <v>2</v>
      </c>
      <c r="C169" s="38">
        <v>4</v>
      </c>
      <c r="D169" s="5" t="s">
        <v>233</v>
      </c>
      <c r="E169" s="5" t="s">
        <v>239</v>
      </c>
      <c r="F169" s="10" t="str">
        <f t="shared" si="4"/>
        <v>Felipe Mendonça</v>
      </c>
      <c r="G169" s="8">
        <v>43454</v>
      </c>
      <c r="H169" s="3" t="s">
        <v>13</v>
      </c>
      <c r="I169" s="4">
        <v>1600</v>
      </c>
      <c r="J169" s="30">
        <f t="shared" si="5"/>
        <v>6400</v>
      </c>
    </row>
    <row r="170" spans="1:10" x14ac:dyDescent="0.25">
      <c r="A170" s="1" t="s">
        <v>16</v>
      </c>
      <c r="B170" s="2" t="s">
        <v>1</v>
      </c>
      <c r="C170" s="38">
        <v>5</v>
      </c>
      <c r="D170" s="5" t="s">
        <v>74</v>
      </c>
      <c r="E170" s="5" t="s">
        <v>240</v>
      </c>
      <c r="F170" s="10" t="str">
        <f t="shared" si="4"/>
        <v>Pedro Sena</v>
      </c>
      <c r="G170" s="8">
        <v>43303</v>
      </c>
      <c r="H170" s="3" t="s">
        <v>6</v>
      </c>
      <c r="I170" s="4">
        <v>2500</v>
      </c>
      <c r="J170" s="30">
        <f t="shared" si="5"/>
        <v>12500</v>
      </c>
    </row>
    <row r="171" spans="1:10" x14ac:dyDescent="0.25">
      <c r="A171" s="1" t="s">
        <v>14</v>
      </c>
      <c r="B171" s="2" t="s">
        <v>3</v>
      </c>
      <c r="C171" s="38">
        <v>1</v>
      </c>
      <c r="D171" s="5" t="s">
        <v>241</v>
      </c>
      <c r="E171" s="5" t="s">
        <v>102</v>
      </c>
      <c r="F171" s="10" t="str">
        <f t="shared" si="4"/>
        <v>Luiza Farias</v>
      </c>
      <c r="G171" s="8">
        <v>43311</v>
      </c>
      <c r="H171" s="3" t="s">
        <v>8</v>
      </c>
      <c r="I171" s="4">
        <v>1400</v>
      </c>
      <c r="J171" s="30">
        <f t="shared" si="5"/>
        <v>1400</v>
      </c>
    </row>
    <row r="172" spans="1:10" x14ac:dyDescent="0.25">
      <c r="A172" s="1" t="s">
        <v>21</v>
      </c>
      <c r="B172" s="2" t="s">
        <v>22</v>
      </c>
      <c r="C172" s="38">
        <v>2</v>
      </c>
      <c r="D172" s="5" t="s">
        <v>242</v>
      </c>
      <c r="E172" s="5" t="s">
        <v>243</v>
      </c>
      <c r="F172" s="10" t="str">
        <f t="shared" si="4"/>
        <v>Samara Pinto</v>
      </c>
      <c r="G172" s="8">
        <v>43457</v>
      </c>
      <c r="H172" s="3" t="s">
        <v>13</v>
      </c>
      <c r="I172" s="4">
        <v>3400</v>
      </c>
      <c r="J172" s="30">
        <f t="shared" si="5"/>
        <v>6800</v>
      </c>
    </row>
    <row r="173" spans="1:10" x14ac:dyDescent="0.25">
      <c r="A173" s="1" t="s">
        <v>15</v>
      </c>
      <c r="B173" s="2" t="s">
        <v>2</v>
      </c>
      <c r="C173" s="38">
        <v>2</v>
      </c>
      <c r="D173" s="5" t="s">
        <v>227</v>
      </c>
      <c r="E173" s="5" t="s">
        <v>228</v>
      </c>
      <c r="F173" s="10" t="str">
        <f t="shared" si="4"/>
        <v>Philipe Morete</v>
      </c>
      <c r="G173" s="8">
        <v>43292</v>
      </c>
      <c r="H173" s="3" t="s">
        <v>6</v>
      </c>
      <c r="I173" s="4">
        <v>1600</v>
      </c>
      <c r="J173" s="30">
        <f t="shared" si="5"/>
        <v>3200</v>
      </c>
    </row>
    <row r="174" spans="1:10" x14ac:dyDescent="0.25">
      <c r="A174" s="1" t="s">
        <v>16</v>
      </c>
      <c r="B174" s="2" t="s">
        <v>1</v>
      </c>
      <c r="C174" s="38">
        <v>2</v>
      </c>
      <c r="D174" s="5" t="s">
        <v>95</v>
      </c>
      <c r="E174" s="5" t="s">
        <v>244</v>
      </c>
      <c r="F174" s="10" t="str">
        <f t="shared" si="4"/>
        <v>Larissa Florim</v>
      </c>
      <c r="G174" s="8">
        <v>43170</v>
      </c>
      <c r="H174" s="3" t="s">
        <v>6</v>
      </c>
      <c r="I174" s="4">
        <v>2500</v>
      </c>
      <c r="J174" s="30">
        <f t="shared" si="5"/>
        <v>5000</v>
      </c>
    </row>
    <row r="175" spans="1:10" x14ac:dyDescent="0.25">
      <c r="A175" s="1" t="s">
        <v>19</v>
      </c>
      <c r="B175" s="2" t="s">
        <v>20</v>
      </c>
      <c r="C175" s="38">
        <v>1</v>
      </c>
      <c r="D175" s="5" t="s">
        <v>90</v>
      </c>
      <c r="E175" s="5" t="s">
        <v>91</v>
      </c>
      <c r="F175" s="10" t="str">
        <f t="shared" si="4"/>
        <v>Paloma Sperandei</v>
      </c>
      <c r="G175" s="8">
        <v>43199</v>
      </c>
      <c r="H175" s="3" t="s">
        <v>13</v>
      </c>
      <c r="I175" s="4">
        <v>5300</v>
      </c>
      <c r="J175" s="30">
        <f t="shared" si="5"/>
        <v>5300</v>
      </c>
    </row>
    <row r="176" spans="1:10" x14ac:dyDescent="0.25">
      <c r="A176" s="1" t="s">
        <v>16</v>
      </c>
      <c r="B176" s="2" t="s">
        <v>1</v>
      </c>
      <c r="C176" s="38">
        <v>1</v>
      </c>
      <c r="D176" s="5" t="s">
        <v>245</v>
      </c>
      <c r="E176" s="5" t="s">
        <v>32</v>
      </c>
      <c r="F176" s="10" t="str">
        <f t="shared" si="4"/>
        <v>Arthur Souza</v>
      </c>
      <c r="G176" s="8">
        <v>43269</v>
      </c>
      <c r="H176" s="3" t="s">
        <v>8</v>
      </c>
      <c r="I176" s="4">
        <v>2500</v>
      </c>
      <c r="J176" s="30">
        <f t="shared" si="5"/>
        <v>2500</v>
      </c>
    </row>
    <row r="177" spans="1:10" x14ac:dyDescent="0.25">
      <c r="A177" s="1" t="s">
        <v>16</v>
      </c>
      <c r="B177" s="2" t="s">
        <v>1</v>
      </c>
      <c r="C177" s="38">
        <v>4</v>
      </c>
      <c r="D177" s="5" t="s">
        <v>246</v>
      </c>
      <c r="E177" s="5" t="s">
        <v>247</v>
      </c>
      <c r="F177" s="10" t="str">
        <f t="shared" si="4"/>
        <v>Platini Heimlich</v>
      </c>
      <c r="G177" s="8">
        <v>43316</v>
      </c>
      <c r="H177" s="3" t="s">
        <v>6</v>
      </c>
      <c r="I177" s="4">
        <v>2500</v>
      </c>
      <c r="J177" s="30">
        <f t="shared" si="5"/>
        <v>10000</v>
      </c>
    </row>
    <row r="178" spans="1:10" x14ac:dyDescent="0.25">
      <c r="A178" s="1" t="s">
        <v>16</v>
      </c>
      <c r="B178" s="2" t="s">
        <v>1</v>
      </c>
      <c r="C178" s="38">
        <v>4</v>
      </c>
      <c r="D178" s="5" t="s">
        <v>248</v>
      </c>
      <c r="E178" s="5" t="s">
        <v>39</v>
      </c>
      <c r="F178" s="10" t="str">
        <f t="shared" si="4"/>
        <v>Dykson Silva</v>
      </c>
      <c r="G178" s="8">
        <v>43439</v>
      </c>
      <c r="H178" s="3" t="s">
        <v>13</v>
      </c>
      <c r="I178" s="4">
        <v>2500</v>
      </c>
      <c r="J178" s="30">
        <f t="shared" si="5"/>
        <v>10000</v>
      </c>
    </row>
    <row r="179" spans="1:10" x14ac:dyDescent="0.25">
      <c r="A179" s="1" t="s">
        <v>21</v>
      </c>
      <c r="B179" s="2" t="s">
        <v>22</v>
      </c>
      <c r="C179" s="38">
        <v>2</v>
      </c>
      <c r="D179" s="5" t="s">
        <v>249</v>
      </c>
      <c r="E179" s="5" t="s">
        <v>126</v>
      </c>
      <c r="F179" s="10" t="str">
        <f t="shared" si="4"/>
        <v>Catarina Teixeira</v>
      </c>
      <c r="G179" s="8">
        <v>43225</v>
      </c>
      <c r="H179" s="3" t="s">
        <v>8</v>
      </c>
      <c r="I179" s="4">
        <v>3400</v>
      </c>
      <c r="J179" s="30">
        <f t="shared" si="5"/>
        <v>6800</v>
      </c>
    </row>
    <row r="180" spans="1:10" x14ac:dyDescent="0.25">
      <c r="A180" s="1" t="s">
        <v>21</v>
      </c>
      <c r="B180" s="2" t="s">
        <v>22</v>
      </c>
      <c r="C180" s="38">
        <v>2</v>
      </c>
      <c r="D180" s="5" t="s">
        <v>85</v>
      </c>
      <c r="E180" s="5" t="s">
        <v>149</v>
      </c>
      <c r="F180" s="10" t="str">
        <f t="shared" si="4"/>
        <v>João Junior</v>
      </c>
      <c r="G180" s="8">
        <v>43111</v>
      </c>
      <c r="H180" s="3" t="s">
        <v>12</v>
      </c>
      <c r="I180" s="4">
        <v>3400</v>
      </c>
      <c r="J180" s="30">
        <f t="shared" si="5"/>
        <v>6800</v>
      </c>
    </row>
    <row r="181" spans="1:10" x14ac:dyDescent="0.25">
      <c r="A181" s="1" t="s">
        <v>15</v>
      </c>
      <c r="B181" s="2" t="s">
        <v>2</v>
      </c>
      <c r="C181" s="38">
        <v>4</v>
      </c>
      <c r="D181" s="5" t="s">
        <v>250</v>
      </c>
      <c r="E181" s="5" t="s">
        <v>251</v>
      </c>
      <c r="F181" s="10" t="str">
        <f t="shared" si="4"/>
        <v>Priscila Carvalho</v>
      </c>
      <c r="G181" s="8">
        <v>43152</v>
      </c>
      <c r="H181" s="3" t="s">
        <v>13</v>
      </c>
      <c r="I181" s="4">
        <v>1600</v>
      </c>
      <c r="J181" s="30">
        <f t="shared" si="5"/>
        <v>6400</v>
      </c>
    </row>
    <row r="182" spans="1:10" x14ac:dyDescent="0.25">
      <c r="A182" s="1" t="s">
        <v>21</v>
      </c>
      <c r="B182" s="2" t="s">
        <v>22</v>
      </c>
      <c r="C182" s="38">
        <v>5</v>
      </c>
      <c r="D182" s="5" t="s">
        <v>193</v>
      </c>
      <c r="E182" s="5" t="s">
        <v>252</v>
      </c>
      <c r="F182" s="10" t="str">
        <f t="shared" si="4"/>
        <v>Gustavo Azevedo</v>
      </c>
      <c r="G182" s="8">
        <v>43222</v>
      </c>
      <c r="H182" s="3" t="s">
        <v>6</v>
      </c>
      <c r="I182" s="4">
        <v>3400</v>
      </c>
      <c r="J182" s="30">
        <f t="shared" si="5"/>
        <v>17000</v>
      </c>
    </row>
    <row r="183" spans="1:10" x14ac:dyDescent="0.25">
      <c r="A183" s="1" t="s">
        <v>16</v>
      </c>
      <c r="B183" s="2" t="s">
        <v>1</v>
      </c>
      <c r="C183" s="38">
        <v>4</v>
      </c>
      <c r="D183" s="5" t="s">
        <v>253</v>
      </c>
      <c r="E183" s="5" t="s">
        <v>254</v>
      </c>
      <c r="F183" s="10" t="str">
        <f t="shared" si="4"/>
        <v>Daniela Rosa</v>
      </c>
      <c r="G183" s="8">
        <v>43215</v>
      </c>
      <c r="H183" s="3" t="s">
        <v>13</v>
      </c>
      <c r="I183" s="4">
        <v>2500</v>
      </c>
      <c r="J183" s="30">
        <f t="shared" si="5"/>
        <v>10000</v>
      </c>
    </row>
    <row r="184" spans="1:10" x14ac:dyDescent="0.25">
      <c r="A184" s="1" t="s">
        <v>15</v>
      </c>
      <c r="B184" s="2" t="s">
        <v>2</v>
      </c>
      <c r="C184" s="38">
        <v>4</v>
      </c>
      <c r="D184" s="5" t="s">
        <v>255</v>
      </c>
      <c r="E184" s="5" t="s">
        <v>256</v>
      </c>
      <c r="F184" s="10" t="str">
        <f t="shared" si="4"/>
        <v>Isabelle Firmino</v>
      </c>
      <c r="G184" s="8">
        <v>43450</v>
      </c>
      <c r="H184" s="3" t="s">
        <v>6</v>
      </c>
      <c r="I184" s="4">
        <v>1600</v>
      </c>
      <c r="J184" s="30">
        <f t="shared" si="5"/>
        <v>6400</v>
      </c>
    </row>
    <row r="185" spans="1:10" x14ac:dyDescent="0.25">
      <c r="A185" s="1" t="s">
        <v>19</v>
      </c>
      <c r="B185" s="2" t="s">
        <v>20</v>
      </c>
      <c r="C185" s="38">
        <v>4</v>
      </c>
      <c r="D185" s="5" t="s">
        <v>257</v>
      </c>
      <c r="E185" s="5" t="s">
        <v>258</v>
      </c>
      <c r="F185" s="10" t="str">
        <f t="shared" si="4"/>
        <v>Roberto Tiradentes</v>
      </c>
      <c r="G185" s="8">
        <v>43390</v>
      </c>
      <c r="H185" s="3" t="s">
        <v>13</v>
      </c>
      <c r="I185" s="4">
        <v>5300</v>
      </c>
      <c r="J185" s="30">
        <f t="shared" si="5"/>
        <v>21200</v>
      </c>
    </row>
    <row r="186" spans="1:10" x14ac:dyDescent="0.25">
      <c r="A186" s="1" t="s">
        <v>19</v>
      </c>
      <c r="B186" s="2" t="s">
        <v>20</v>
      </c>
      <c r="C186" s="38">
        <v>4</v>
      </c>
      <c r="D186" s="5" t="s">
        <v>117</v>
      </c>
      <c r="E186" s="5" t="s">
        <v>259</v>
      </c>
      <c r="F186" s="10" t="str">
        <f t="shared" si="4"/>
        <v>Marina Gama</v>
      </c>
      <c r="G186" s="8">
        <v>43301</v>
      </c>
      <c r="H186" s="3" t="s">
        <v>12</v>
      </c>
      <c r="I186" s="4">
        <v>5300</v>
      </c>
      <c r="J186" s="30">
        <f t="shared" si="5"/>
        <v>21200</v>
      </c>
    </row>
    <row r="187" spans="1:10" x14ac:dyDescent="0.25">
      <c r="A187" s="1" t="s">
        <v>17</v>
      </c>
      <c r="B187" s="2" t="s">
        <v>4</v>
      </c>
      <c r="C187" s="38">
        <v>4</v>
      </c>
      <c r="D187" s="5" t="s">
        <v>50</v>
      </c>
      <c r="E187" s="5" t="s">
        <v>39</v>
      </c>
      <c r="F187" s="10" t="str">
        <f t="shared" si="4"/>
        <v>Caio Silva</v>
      </c>
      <c r="G187" s="8">
        <v>43124</v>
      </c>
      <c r="H187" s="3" t="s">
        <v>6</v>
      </c>
      <c r="I187" s="4">
        <v>2100</v>
      </c>
      <c r="J187" s="30">
        <f t="shared" si="5"/>
        <v>8400</v>
      </c>
    </row>
    <row r="188" spans="1:10" x14ac:dyDescent="0.25">
      <c r="A188" s="1" t="s">
        <v>23</v>
      </c>
      <c r="B188" s="2" t="s">
        <v>0</v>
      </c>
      <c r="C188" s="38">
        <v>5</v>
      </c>
      <c r="D188" s="5" t="s">
        <v>260</v>
      </c>
      <c r="E188" s="5" t="s">
        <v>261</v>
      </c>
      <c r="F188" s="10" t="str">
        <f t="shared" si="4"/>
        <v>Giovana Vilela</v>
      </c>
      <c r="G188" s="8">
        <v>43291</v>
      </c>
      <c r="H188" s="3" t="s">
        <v>7</v>
      </c>
      <c r="I188" s="4">
        <v>3500</v>
      </c>
      <c r="J188" s="30">
        <f t="shared" si="5"/>
        <v>17500</v>
      </c>
    </row>
    <row r="189" spans="1:10" x14ac:dyDescent="0.25">
      <c r="A189" s="1" t="s">
        <v>16</v>
      </c>
      <c r="B189" s="2" t="s">
        <v>1</v>
      </c>
      <c r="C189" s="38">
        <v>5</v>
      </c>
      <c r="D189" s="5" t="s">
        <v>262</v>
      </c>
      <c r="E189" s="5" t="s">
        <v>100</v>
      </c>
      <c r="F189" s="10" t="str">
        <f t="shared" si="4"/>
        <v>Adriana Carneiro</v>
      </c>
      <c r="G189" s="8">
        <v>43296</v>
      </c>
      <c r="H189" s="3" t="s">
        <v>6</v>
      </c>
      <c r="I189" s="4">
        <v>2500</v>
      </c>
      <c r="J189" s="30">
        <f t="shared" si="5"/>
        <v>12500</v>
      </c>
    </row>
    <row r="190" spans="1:10" x14ac:dyDescent="0.25">
      <c r="A190" s="1" t="s">
        <v>19</v>
      </c>
      <c r="B190" s="2" t="s">
        <v>20</v>
      </c>
      <c r="C190" s="38">
        <v>1</v>
      </c>
      <c r="D190" s="5" t="s">
        <v>63</v>
      </c>
      <c r="E190" s="5" t="s">
        <v>171</v>
      </c>
      <c r="F190" s="10" t="str">
        <f t="shared" si="4"/>
        <v>Lucas Fontoura</v>
      </c>
      <c r="G190" s="8">
        <v>43435</v>
      </c>
      <c r="H190" s="3" t="s">
        <v>13</v>
      </c>
      <c r="I190" s="4">
        <v>5300</v>
      </c>
      <c r="J190" s="30">
        <f t="shared" si="5"/>
        <v>5300</v>
      </c>
    </row>
    <row r="191" spans="1:10" x14ac:dyDescent="0.25">
      <c r="A191" s="1" t="s">
        <v>16</v>
      </c>
      <c r="B191" s="2" t="s">
        <v>1</v>
      </c>
      <c r="C191" s="38">
        <v>3</v>
      </c>
      <c r="D191" s="5" t="s">
        <v>188</v>
      </c>
      <c r="E191" s="5" t="s">
        <v>208</v>
      </c>
      <c r="F191" s="10" t="str">
        <f t="shared" si="4"/>
        <v>Roberta Nogueira</v>
      </c>
      <c r="G191" s="8">
        <v>43275</v>
      </c>
      <c r="H191" s="3" t="s">
        <v>18</v>
      </c>
      <c r="I191" s="4">
        <v>2500</v>
      </c>
      <c r="J191" s="30">
        <f t="shared" si="5"/>
        <v>7500</v>
      </c>
    </row>
    <row r="192" spans="1:10" x14ac:dyDescent="0.25">
      <c r="A192" s="1" t="s">
        <v>21</v>
      </c>
      <c r="B192" s="2" t="s">
        <v>22</v>
      </c>
      <c r="C192" s="38">
        <v>3</v>
      </c>
      <c r="D192" s="5" t="s">
        <v>70</v>
      </c>
      <c r="E192" s="5" t="s">
        <v>263</v>
      </c>
      <c r="F192" s="10" t="str">
        <f t="shared" ref="F192:F252" si="6">CONCATENATE(D192, " ",E192)</f>
        <v>Bianca Paz</v>
      </c>
      <c r="G192" s="8">
        <v>43356</v>
      </c>
      <c r="H192" s="3" t="s">
        <v>11</v>
      </c>
      <c r="I192" s="4">
        <v>3400</v>
      </c>
      <c r="J192" s="30">
        <f t="shared" ref="J192:J252" si="7">PRODUCT(I192,C192)</f>
        <v>10200</v>
      </c>
    </row>
    <row r="193" spans="1:10" x14ac:dyDescent="0.25">
      <c r="A193" s="1" t="s">
        <v>23</v>
      </c>
      <c r="B193" s="2" t="s">
        <v>0</v>
      </c>
      <c r="C193" s="38">
        <v>3</v>
      </c>
      <c r="D193" s="5" t="s">
        <v>25</v>
      </c>
      <c r="E193" s="5" t="s">
        <v>133</v>
      </c>
      <c r="F193" s="10" t="str">
        <f t="shared" si="6"/>
        <v>Renan Melo</v>
      </c>
      <c r="G193" s="8">
        <v>43436</v>
      </c>
      <c r="H193" s="3" t="s">
        <v>9</v>
      </c>
      <c r="I193" s="4">
        <v>3500</v>
      </c>
      <c r="J193" s="30">
        <f t="shared" si="7"/>
        <v>10500</v>
      </c>
    </row>
    <row r="194" spans="1:10" x14ac:dyDescent="0.25">
      <c r="A194" s="1" t="s">
        <v>19</v>
      </c>
      <c r="B194" s="2" t="s">
        <v>20</v>
      </c>
      <c r="C194" s="38">
        <v>4</v>
      </c>
      <c r="D194" s="5" t="s">
        <v>114</v>
      </c>
      <c r="E194" s="5" t="s">
        <v>264</v>
      </c>
      <c r="F194" s="10" t="str">
        <f t="shared" si="6"/>
        <v>Ana Monte</v>
      </c>
      <c r="G194" s="8">
        <v>43305</v>
      </c>
      <c r="H194" s="3" t="s">
        <v>13</v>
      </c>
      <c r="I194" s="4">
        <v>5300</v>
      </c>
      <c r="J194" s="30">
        <f t="shared" si="7"/>
        <v>21200</v>
      </c>
    </row>
    <row r="195" spans="1:10" x14ac:dyDescent="0.25">
      <c r="A195" s="1" t="s">
        <v>21</v>
      </c>
      <c r="B195" s="2" t="s">
        <v>22</v>
      </c>
      <c r="C195" s="38">
        <v>2</v>
      </c>
      <c r="D195" s="5" t="s">
        <v>85</v>
      </c>
      <c r="E195" s="5" t="s">
        <v>265</v>
      </c>
      <c r="F195" s="10" t="str">
        <f t="shared" si="6"/>
        <v>João Júnior</v>
      </c>
      <c r="G195" s="8">
        <v>43243</v>
      </c>
      <c r="H195" s="3" t="s">
        <v>8</v>
      </c>
      <c r="I195" s="4">
        <v>3400</v>
      </c>
      <c r="J195" s="30">
        <f t="shared" si="7"/>
        <v>6800</v>
      </c>
    </row>
    <row r="196" spans="1:10" x14ac:dyDescent="0.25">
      <c r="A196" s="1" t="s">
        <v>16</v>
      </c>
      <c r="B196" s="2" t="s">
        <v>1</v>
      </c>
      <c r="C196" s="38">
        <v>4</v>
      </c>
      <c r="D196" s="5" t="s">
        <v>205</v>
      </c>
      <c r="E196" s="5" t="s">
        <v>109</v>
      </c>
      <c r="F196" s="10" t="str">
        <f t="shared" si="6"/>
        <v>Rilson Guedes</v>
      </c>
      <c r="G196" s="8">
        <v>43174</v>
      </c>
      <c r="H196" s="3" t="s">
        <v>12</v>
      </c>
      <c r="I196" s="4">
        <v>2500</v>
      </c>
      <c r="J196" s="30">
        <f t="shared" si="7"/>
        <v>10000</v>
      </c>
    </row>
    <row r="197" spans="1:10" x14ac:dyDescent="0.25">
      <c r="A197" s="1" t="s">
        <v>17</v>
      </c>
      <c r="B197" s="2" t="s">
        <v>4</v>
      </c>
      <c r="C197" s="38">
        <v>4</v>
      </c>
      <c r="D197" s="5" t="s">
        <v>111</v>
      </c>
      <c r="E197" s="5" t="s">
        <v>39</v>
      </c>
      <c r="F197" s="10" t="str">
        <f t="shared" si="6"/>
        <v>Juliana Silva</v>
      </c>
      <c r="G197" s="8">
        <v>43320</v>
      </c>
      <c r="H197" s="3" t="s">
        <v>13</v>
      </c>
      <c r="I197" s="4">
        <v>2100</v>
      </c>
      <c r="J197" s="30">
        <f t="shared" si="7"/>
        <v>8400</v>
      </c>
    </row>
    <row r="198" spans="1:10" x14ac:dyDescent="0.25">
      <c r="A198" s="1" t="s">
        <v>16</v>
      </c>
      <c r="B198" s="2" t="s">
        <v>1</v>
      </c>
      <c r="C198" s="38">
        <v>3</v>
      </c>
      <c r="D198" s="5" t="s">
        <v>85</v>
      </c>
      <c r="E198" s="5" t="s">
        <v>145</v>
      </c>
      <c r="F198" s="10" t="str">
        <f t="shared" si="6"/>
        <v>João Guadagnino</v>
      </c>
      <c r="G198" s="8">
        <v>43268</v>
      </c>
      <c r="H198" s="3" t="s">
        <v>18</v>
      </c>
      <c r="I198" s="4">
        <v>2500</v>
      </c>
      <c r="J198" s="30">
        <f t="shared" si="7"/>
        <v>7500</v>
      </c>
    </row>
    <row r="199" spans="1:10" x14ac:dyDescent="0.25">
      <c r="A199" s="1" t="s">
        <v>17</v>
      </c>
      <c r="B199" s="2" t="s">
        <v>4</v>
      </c>
      <c r="C199" s="38">
        <v>5</v>
      </c>
      <c r="D199" s="5" t="s">
        <v>266</v>
      </c>
      <c r="E199" s="5" t="s">
        <v>134</v>
      </c>
      <c r="F199" s="10" t="str">
        <f t="shared" si="6"/>
        <v>Michelle Figueiredo</v>
      </c>
      <c r="G199" s="8">
        <v>43140</v>
      </c>
      <c r="H199" s="3" t="s">
        <v>18</v>
      </c>
      <c r="I199" s="4">
        <v>2100</v>
      </c>
      <c r="J199" s="30">
        <f t="shared" si="7"/>
        <v>10500</v>
      </c>
    </row>
    <row r="200" spans="1:10" x14ac:dyDescent="0.25">
      <c r="A200" s="1" t="s">
        <v>19</v>
      </c>
      <c r="B200" s="2" t="s">
        <v>20</v>
      </c>
      <c r="C200" s="38">
        <v>2</v>
      </c>
      <c r="D200" s="5" t="s">
        <v>267</v>
      </c>
      <c r="E200" s="5" t="s">
        <v>59</v>
      </c>
      <c r="F200" s="10" t="str">
        <f t="shared" si="6"/>
        <v>Brenno Santos</v>
      </c>
      <c r="G200" s="8">
        <v>43344</v>
      </c>
      <c r="H200" s="3" t="s">
        <v>6</v>
      </c>
      <c r="I200" s="4">
        <v>5300</v>
      </c>
      <c r="J200" s="30">
        <f t="shared" si="7"/>
        <v>10600</v>
      </c>
    </row>
    <row r="201" spans="1:10" x14ac:dyDescent="0.25">
      <c r="A201" s="1" t="s">
        <v>15</v>
      </c>
      <c r="B201" s="2" t="s">
        <v>2</v>
      </c>
      <c r="C201" s="38">
        <v>1</v>
      </c>
      <c r="D201" s="5" t="s">
        <v>235</v>
      </c>
      <c r="E201" s="5" t="s">
        <v>141</v>
      </c>
      <c r="F201" s="10" t="str">
        <f t="shared" si="6"/>
        <v>Rafaela Gonçalves</v>
      </c>
      <c r="G201" s="8">
        <v>43132</v>
      </c>
      <c r="H201" s="3" t="s">
        <v>8</v>
      </c>
      <c r="I201" s="4">
        <v>1600</v>
      </c>
      <c r="J201" s="30">
        <f t="shared" si="7"/>
        <v>1600</v>
      </c>
    </row>
    <row r="202" spans="1:10" x14ac:dyDescent="0.25">
      <c r="A202" s="1" t="s">
        <v>16</v>
      </c>
      <c r="B202" s="2" t="s">
        <v>1</v>
      </c>
      <c r="C202" s="38">
        <v>1</v>
      </c>
      <c r="D202" s="5" t="s">
        <v>74</v>
      </c>
      <c r="E202" s="5" t="s">
        <v>223</v>
      </c>
      <c r="F202" s="10" t="str">
        <f t="shared" si="6"/>
        <v>Pedro Delgado</v>
      </c>
      <c r="G202" s="8">
        <v>43182</v>
      </c>
      <c r="H202" s="3" t="s">
        <v>13</v>
      </c>
      <c r="I202" s="4">
        <v>2500</v>
      </c>
      <c r="J202" s="30">
        <f t="shared" si="7"/>
        <v>2500</v>
      </c>
    </row>
    <row r="203" spans="1:10" x14ac:dyDescent="0.25">
      <c r="A203" s="1" t="s">
        <v>16</v>
      </c>
      <c r="B203" s="2" t="s">
        <v>1</v>
      </c>
      <c r="C203" s="38">
        <v>1</v>
      </c>
      <c r="D203" s="5" t="s">
        <v>268</v>
      </c>
      <c r="E203" s="5" t="s">
        <v>269</v>
      </c>
      <c r="F203" s="10" t="str">
        <f t="shared" si="6"/>
        <v>Vanessa Bach</v>
      </c>
      <c r="G203" s="8">
        <v>43305</v>
      </c>
      <c r="H203" s="3" t="s">
        <v>13</v>
      </c>
      <c r="I203" s="4">
        <v>2500</v>
      </c>
      <c r="J203" s="30">
        <f t="shared" si="7"/>
        <v>2500</v>
      </c>
    </row>
    <row r="204" spans="1:10" x14ac:dyDescent="0.25">
      <c r="A204" s="1" t="s">
        <v>19</v>
      </c>
      <c r="B204" s="2" t="s">
        <v>20</v>
      </c>
      <c r="C204" s="38">
        <v>4</v>
      </c>
      <c r="D204" s="5" t="s">
        <v>233</v>
      </c>
      <c r="E204" s="5" t="s">
        <v>270</v>
      </c>
      <c r="F204" s="10" t="str">
        <f t="shared" si="6"/>
        <v>Felipe Mello</v>
      </c>
      <c r="G204" s="8">
        <v>43172</v>
      </c>
      <c r="H204" s="3" t="s">
        <v>12</v>
      </c>
      <c r="I204" s="4">
        <v>5300</v>
      </c>
      <c r="J204" s="30">
        <f t="shared" si="7"/>
        <v>21200</v>
      </c>
    </row>
    <row r="205" spans="1:10" x14ac:dyDescent="0.25">
      <c r="A205" s="1" t="s">
        <v>19</v>
      </c>
      <c r="B205" s="2" t="s">
        <v>20</v>
      </c>
      <c r="C205" s="38">
        <v>4</v>
      </c>
      <c r="D205" s="5" t="s">
        <v>271</v>
      </c>
      <c r="E205" s="5" t="s">
        <v>32</v>
      </c>
      <c r="F205" s="10" t="str">
        <f t="shared" si="6"/>
        <v>Luis Souza</v>
      </c>
      <c r="G205" s="8">
        <v>43229</v>
      </c>
      <c r="H205" s="3" t="s">
        <v>13</v>
      </c>
      <c r="I205" s="4">
        <v>5300</v>
      </c>
      <c r="J205" s="30">
        <f t="shared" si="7"/>
        <v>21200</v>
      </c>
    </row>
    <row r="206" spans="1:10" x14ac:dyDescent="0.25">
      <c r="A206" s="1" t="s">
        <v>23</v>
      </c>
      <c r="B206" s="2" t="s">
        <v>0</v>
      </c>
      <c r="C206" s="38">
        <v>1</v>
      </c>
      <c r="D206" s="5" t="s">
        <v>216</v>
      </c>
      <c r="E206" s="5" t="s">
        <v>272</v>
      </c>
      <c r="F206" s="10" t="str">
        <f t="shared" si="6"/>
        <v>Gabrielle Vasconcelos</v>
      </c>
      <c r="G206" s="8">
        <v>43265</v>
      </c>
      <c r="H206" s="3" t="s">
        <v>6</v>
      </c>
      <c r="I206" s="4">
        <v>3500</v>
      </c>
      <c r="J206" s="30">
        <f t="shared" si="7"/>
        <v>3500</v>
      </c>
    </row>
    <row r="207" spans="1:10" x14ac:dyDescent="0.25">
      <c r="A207" s="1" t="s">
        <v>16</v>
      </c>
      <c r="B207" s="2" t="s">
        <v>1</v>
      </c>
      <c r="C207" s="38">
        <v>1</v>
      </c>
      <c r="D207" s="5" t="s">
        <v>273</v>
      </c>
      <c r="E207" s="5" t="s">
        <v>274</v>
      </c>
      <c r="F207" s="10" t="str">
        <f t="shared" si="6"/>
        <v>Marcela Medeiros</v>
      </c>
      <c r="G207" s="8">
        <v>43435</v>
      </c>
      <c r="H207" s="3" t="s">
        <v>6</v>
      </c>
      <c r="I207" s="4">
        <v>2500</v>
      </c>
      <c r="J207" s="30">
        <f t="shared" si="7"/>
        <v>2500</v>
      </c>
    </row>
    <row r="208" spans="1:10" x14ac:dyDescent="0.25">
      <c r="A208" s="1" t="s">
        <v>19</v>
      </c>
      <c r="B208" s="2" t="s">
        <v>20</v>
      </c>
      <c r="C208" s="38">
        <v>2</v>
      </c>
      <c r="D208" s="5" t="s">
        <v>29</v>
      </c>
      <c r="E208" s="5" t="s">
        <v>39</v>
      </c>
      <c r="F208" s="10" t="str">
        <f t="shared" si="6"/>
        <v>Eduardo Silva</v>
      </c>
      <c r="G208" s="8">
        <v>43190</v>
      </c>
      <c r="H208" s="3" t="s">
        <v>10</v>
      </c>
      <c r="I208" s="4">
        <v>5300</v>
      </c>
      <c r="J208" s="30">
        <f t="shared" si="7"/>
        <v>10600</v>
      </c>
    </row>
    <row r="209" spans="1:10" x14ac:dyDescent="0.25">
      <c r="A209" s="1" t="s">
        <v>19</v>
      </c>
      <c r="B209" s="2" t="s">
        <v>20</v>
      </c>
      <c r="C209" s="38">
        <v>4</v>
      </c>
      <c r="D209" s="5" t="s">
        <v>167</v>
      </c>
      <c r="E209" s="5" t="s">
        <v>223</v>
      </c>
      <c r="F209" s="10" t="str">
        <f t="shared" si="6"/>
        <v>Matheus Delgado</v>
      </c>
      <c r="G209" s="8">
        <v>43170</v>
      </c>
      <c r="H209" s="3" t="s">
        <v>8</v>
      </c>
      <c r="I209" s="4">
        <v>5300</v>
      </c>
      <c r="J209" s="30">
        <f t="shared" si="7"/>
        <v>21200</v>
      </c>
    </row>
    <row r="210" spans="1:10" x14ac:dyDescent="0.25">
      <c r="A210" s="1" t="s">
        <v>19</v>
      </c>
      <c r="B210" s="2" t="s">
        <v>20</v>
      </c>
      <c r="C210" s="38">
        <v>2</v>
      </c>
      <c r="D210" s="5" t="s">
        <v>167</v>
      </c>
      <c r="E210" s="5" t="s">
        <v>275</v>
      </c>
      <c r="F210" s="10" t="str">
        <f t="shared" si="6"/>
        <v>Matheus Miranda</v>
      </c>
      <c r="G210" s="8">
        <v>43465</v>
      </c>
      <c r="H210" s="3" t="s">
        <v>18</v>
      </c>
      <c r="I210" s="4">
        <v>5300</v>
      </c>
      <c r="J210" s="30">
        <f t="shared" si="7"/>
        <v>10600</v>
      </c>
    </row>
    <row r="211" spans="1:10" x14ac:dyDescent="0.25">
      <c r="A211" s="1" t="s">
        <v>14</v>
      </c>
      <c r="B211" s="2" t="s">
        <v>3</v>
      </c>
      <c r="C211" s="38">
        <v>4</v>
      </c>
      <c r="D211" s="5" t="s">
        <v>276</v>
      </c>
      <c r="E211" s="5" t="s">
        <v>251</v>
      </c>
      <c r="F211" s="10" t="str">
        <f t="shared" si="6"/>
        <v>Eric Carvalho</v>
      </c>
      <c r="G211" s="8">
        <v>43459</v>
      </c>
      <c r="H211" s="3" t="s">
        <v>6</v>
      </c>
      <c r="I211" s="4">
        <v>1400</v>
      </c>
      <c r="J211" s="30">
        <f t="shared" si="7"/>
        <v>5600</v>
      </c>
    </row>
    <row r="212" spans="1:10" x14ac:dyDescent="0.25">
      <c r="A212" s="1" t="s">
        <v>16</v>
      </c>
      <c r="B212" s="2" t="s">
        <v>1</v>
      </c>
      <c r="C212" s="38">
        <v>3</v>
      </c>
      <c r="D212" s="5" t="s">
        <v>277</v>
      </c>
      <c r="E212" s="5" t="s">
        <v>118</v>
      </c>
      <c r="F212" s="10" t="str">
        <f t="shared" si="6"/>
        <v>Khaio Mesquita</v>
      </c>
      <c r="G212" s="8">
        <v>43115</v>
      </c>
      <c r="H212" s="3" t="s">
        <v>13</v>
      </c>
      <c r="I212" s="4">
        <v>2500</v>
      </c>
      <c r="J212" s="30">
        <f t="shared" si="7"/>
        <v>7500</v>
      </c>
    </row>
    <row r="213" spans="1:10" x14ac:dyDescent="0.25">
      <c r="A213" s="1" t="s">
        <v>16</v>
      </c>
      <c r="B213" s="2" t="s">
        <v>1</v>
      </c>
      <c r="C213" s="38">
        <v>2</v>
      </c>
      <c r="D213" s="5" t="s">
        <v>97</v>
      </c>
      <c r="E213" s="5" t="s">
        <v>148</v>
      </c>
      <c r="F213" s="10" t="str">
        <f t="shared" si="6"/>
        <v>Guilherme Lima</v>
      </c>
      <c r="G213" s="8">
        <v>43251</v>
      </c>
      <c r="H213" s="3" t="s">
        <v>11</v>
      </c>
      <c r="I213" s="4">
        <v>2500</v>
      </c>
      <c r="J213" s="30">
        <f t="shared" si="7"/>
        <v>5000</v>
      </c>
    </row>
    <row r="214" spans="1:10" x14ac:dyDescent="0.25">
      <c r="A214" s="1" t="s">
        <v>15</v>
      </c>
      <c r="B214" s="2" t="s">
        <v>2</v>
      </c>
      <c r="C214" s="38">
        <v>2</v>
      </c>
      <c r="D214" s="5" t="s">
        <v>132</v>
      </c>
      <c r="E214" s="5" t="s">
        <v>39</v>
      </c>
      <c r="F214" s="10" t="str">
        <f t="shared" si="6"/>
        <v>Carlos Silva</v>
      </c>
      <c r="G214" s="8">
        <v>43221</v>
      </c>
      <c r="H214" s="3" t="s">
        <v>8</v>
      </c>
      <c r="I214" s="4">
        <v>1600</v>
      </c>
      <c r="J214" s="30">
        <f t="shared" si="7"/>
        <v>3200</v>
      </c>
    </row>
    <row r="215" spans="1:10" x14ac:dyDescent="0.25">
      <c r="A215" s="1" t="s">
        <v>19</v>
      </c>
      <c r="B215" s="2" t="s">
        <v>20</v>
      </c>
      <c r="C215" s="38">
        <v>2</v>
      </c>
      <c r="D215" s="5" t="s">
        <v>167</v>
      </c>
      <c r="E215" s="5" t="s">
        <v>134</v>
      </c>
      <c r="F215" s="10" t="str">
        <f t="shared" si="6"/>
        <v>Matheus Figueiredo</v>
      </c>
      <c r="G215" s="8">
        <v>43263</v>
      </c>
      <c r="H215" s="3" t="s">
        <v>8</v>
      </c>
      <c r="I215" s="4">
        <v>5300</v>
      </c>
      <c r="J215" s="30">
        <f t="shared" si="7"/>
        <v>10600</v>
      </c>
    </row>
    <row r="216" spans="1:10" x14ac:dyDescent="0.25">
      <c r="A216" s="1" t="s">
        <v>19</v>
      </c>
      <c r="B216" s="2" t="s">
        <v>20</v>
      </c>
      <c r="C216" s="38">
        <v>5</v>
      </c>
      <c r="D216" s="5" t="s">
        <v>24</v>
      </c>
      <c r="E216" s="5" t="s">
        <v>278</v>
      </c>
      <c r="F216" s="10" t="str">
        <f t="shared" si="6"/>
        <v>Gabriel Brito</v>
      </c>
      <c r="G216" s="8">
        <v>43296</v>
      </c>
      <c r="H216" s="3" t="s">
        <v>7</v>
      </c>
      <c r="I216" s="4">
        <v>5300</v>
      </c>
      <c r="J216" s="30">
        <f t="shared" si="7"/>
        <v>26500</v>
      </c>
    </row>
    <row r="217" spans="1:10" x14ac:dyDescent="0.25">
      <c r="A217" s="1" t="s">
        <v>14</v>
      </c>
      <c r="B217" s="2" t="s">
        <v>3</v>
      </c>
      <c r="C217" s="38">
        <v>1</v>
      </c>
      <c r="D217" s="5" t="s">
        <v>279</v>
      </c>
      <c r="E217" s="5" t="s">
        <v>223</v>
      </c>
      <c r="F217" s="10" t="str">
        <f t="shared" si="6"/>
        <v>Amanda Delgado</v>
      </c>
      <c r="G217" s="8">
        <v>43395</v>
      </c>
      <c r="H217" s="3" t="s">
        <v>7</v>
      </c>
      <c r="I217" s="4">
        <v>1400</v>
      </c>
      <c r="J217" s="30">
        <f t="shared" si="7"/>
        <v>1400</v>
      </c>
    </row>
    <row r="218" spans="1:10" x14ac:dyDescent="0.25">
      <c r="A218" s="1" t="s">
        <v>23</v>
      </c>
      <c r="B218" s="2" t="s">
        <v>0</v>
      </c>
      <c r="C218" s="38">
        <v>2</v>
      </c>
      <c r="D218" s="5" t="s">
        <v>156</v>
      </c>
      <c r="E218" s="5" t="s">
        <v>59</v>
      </c>
      <c r="F218" s="10" t="str">
        <f t="shared" si="6"/>
        <v>Thales Santos</v>
      </c>
      <c r="G218" s="8">
        <v>43388</v>
      </c>
      <c r="H218" s="3" t="s">
        <v>6</v>
      </c>
      <c r="I218" s="4">
        <v>3500</v>
      </c>
      <c r="J218" s="30">
        <f t="shared" si="7"/>
        <v>7000</v>
      </c>
    </row>
    <row r="219" spans="1:10" x14ac:dyDescent="0.25">
      <c r="A219" s="1" t="s">
        <v>19</v>
      </c>
      <c r="B219" s="2" t="s">
        <v>20</v>
      </c>
      <c r="C219" s="38">
        <v>5</v>
      </c>
      <c r="D219" s="5" t="s">
        <v>280</v>
      </c>
      <c r="E219" s="5" t="s">
        <v>281</v>
      </c>
      <c r="F219" s="10" t="str">
        <f t="shared" si="6"/>
        <v>Isabella Scalabrin</v>
      </c>
      <c r="G219" s="8">
        <v>43264</v>
      </c>
      <c r="H219" s="3" t="s">
        <v>7</v>
      </c>
      <c r="I219" s="4">
        <v>5300</v>
      </c>
      <c r="J219" s="30">
        <f t="shared" si="7"/>
        <v>26500</v>
      </c>
    </row>
    <row r="220" spans="1:10" x14ac:dyDescent="0.25">
      <c r="A220" s="1" t="s">
        <v>15</v>
      </c>
      <c r="B220" s="2" t="s">
        <v>2</v>
      </c>
      <c r="C220" s="38">
        <v>2</v>
      </c>
      <c r="D220" s="5" t="s">
        <v>282</v>
      </c>
      <c r="E220" s="5" t="s">
        <v>283</v>
      </c>
      <c r="F220" s="10" t="str">
        <f t="shared" si="6"/>
        <v>Diogo Ressurreição</v>
      </c>
      <c r="G220" s="8">
        <v>43191</v>
      </c>
      <c r="H220" s="3" t="s">
        <v>13</v>
      </c>
      <c r="I220" s="4">
        <v>1600</v>
      </c>
      <c r="J220" s="30">
        <f t="shared" si="7"/>
        <v>3200</v>
      </c>
    </row>
    <row r="221" spans="1:10" x14ac:dyDescent="0.25">
      <c r="A221" s="1" t="s">
        <v>16</v>
      </c>
      <c r="B221" s="2" t="s">
        <v>1</v>
      </c>
      <c r="C221" s="38">
        <v>5</v>
      </c>
      <c r="D221" s="5" t="s">
        <v>284</v>
      </c>
      <c r="E221" s="5" t="s">
        <v>285</v>
      </c>
      <c r="F221" s="10" t="str">
        <f t="shared" si="6"/>
        <v>Mônica Rotolo</v>
      </c>
      <c r="G221" s="8">
        <v>43346</v>
      </c>
      <c r="H221" s="3" t="s">
        <v>18</v>
      </c>
      <c r="I221" s="4">
        <v>2500</v>
      </c>
      <c r="J221" s="30">
        <f t="shared" si="7"/>
        <v>12500</v>
      </c>
    </row>
    <row r="222" spans="1:10" x14ac:dyDescent="0.25">
      <c r="A222" s="1" t="s">
        <v>15</v>
      </c>
      <c r="B222" s="2" t="s">
        <v>2</v>
      </c>
      <c r="C222" s="38">
        <v>5</v>
      </c>
      <c r="D222" s="5" t="s">
        <v>63</v>
      </c>
      <c r="E222" s="5" t="s">
        <v>148</v>
      </c>
      <c r="F222" s="10" t="str">
        <f t="shared" si="6"/>
        <v>Lucas Lima</v>
      </c>
      <c r="G222" s="8">
        <v>43382</v>
      </c>
      <c r="H222" s="3" t="s">
        <v>13</v>
      </c>
      <c r="I222" s="4">
        <v>1600</v>
      </c>
      <c r="J222" s="30">
        <f t="shared" si="7"/>
        <v>8000</v>
      </c>
    </row>
    <row r="223" spans="1:10" x14ac:dyDescent="0.25">
      <c r="A223" s="1" t="s">
        <v>16</v>
      </c>
      <c r="B223" s="2" t="s">
        <v>1</v>
      </c>
      <c r="C223" s="38">
        <v>5</v>
      </c>
      <c r="D223" s="5" t="s">
        <v>224</v>
      </c>
      <c r="E223" s="5" t="s">
        <v>286</v>
      </c>
      <c r="F223" s="10" t="str">
        <f t="shared" si="6"/>
        <v>Sthefeson Pereira</v>
      </c>
      <c r="G223" s="8">
        <v>43189</v>
      </c>
      <c r="H223" s="3" t="s">
        <v>9</v>
      </c>
      <c r="I223" s="4">
        <v>2500</v>
      </c>
      <c r="J223" s="30">
        <f t="shared" si="7"/>
        <v>12500</v>
      </c>
    </row>
    <row r="224" spans="1:10" x14ac:dyDescent="0.25">
      <c r="A224" s="1" t="s">
        <v>14</v>
      </c>
      <c r="B224" s="2" t="s">
        <v>3</v>
      </c>
      <c r="C224" s="38">
        <v>1</v>
      </c>
      <c r="D224" s="5" t="s">
        <v>97</v>
      </c>
      <c r="E224" s="5" t="s">
        <v>148</v>
      </c>
      <c r="F224" s="10" t="str">
        <f t="shared" si="6"/>
        <v>Guilherme Lima</v>
      </c>
      <c r="G224" s="8">
        <v>43297</v>
      </c>
      <c r="H224" s="3" t="s">
        <v>9</v>
      </c>
      <c r="I224" s="4">
        <v>1400</v>
      </c>
      <c r="J224" s="30">
        <f t="shared" si="7"/>
        <v>1400</v>
      </c>
    </row>
    <row r="225" spans="1:10" x14ac:dyDescent="0.25">
      <c r="A225" s="1" t="s">
        <v>19</v>
      </c>
      <c r="B225" s="2" t="s">
        <v>20</v>
      </c>
      <c r="C225" s="38">
        <v>4</v>
      </c>
      <c r="D225" s="5" t="s">
        <v>29</v>
      </c>
      <c r="E225" s="5" t="s">
        <v>30</v>
      </c>
      <c r="F225" s="10" t="str">
        <f t="shared" si="6"/>
        <v>Eduardo Pacheco</v>
      </c>
      <c r="G225" s="8">
        <v>43462</v>
      </c>
      <c r="H225" s="3" t="s">
        <v>9</v>
      </c>
      <c r="I225" s="4">
        <v>5300</v>
      </c>
      <c r="J225" s="30">
        <f t="shared" si="7"/>
        <v>21200</v>
      </c>
    </row>
    <row r="226" spans="1:10" x14ac:dyDescent="0.25">
      <c r="A226" s="1" t="s">
        <v>19</v>
      </c>
      <c r="B226" s="2" t="s">
        <v>20</v>
      </c>
      <c r="C226" s="38">
        <v>2</v>
      </c>
      <c r="D226" s="5" t="s">
        <v>121</v>
      </c>
      <c r="E226" s="5" t="s">
        <v>122</v>
      </c>
      <c r="F226" s="10" t="str">
        <f t="shared" si="6"/>
        <v>Adrielle Vieira</v>
      </c>
      <c r="G226" s="8">
        <v>43321</v>
      </c>
      <c r="H226" s="3" t="s">
        <v>6</v>
      </c>
      <c r="I226" s="4">
        <v>5300</v>
      </c>
      <c r="J226" s="30">
        <f t="shared" si="7"/>
        <v>10600</v>
      </c>
    </row>
    <row r="227" spans="1:10" x14ac:dyDescent="0.25">
      <c r="A227" s="1" t="s">
        <v>23</v>
      </c>
      <c r="B227" s="2" t="s">
        <v>0</v>
      </c>
      <c r="C227" s="38">
        <v>3</v>
      </c>
      <c r="D227" s="5" t="s">
        <v>83</v>
      </c>
      <c r="E227" s="5" t="s">
        <v>39</v>
      </c>
      <c r="F227" s="10" t="str">
        <f t="shared" si="6"/>
        <v>Beatriz Silva</v>
      </c>
      <c r="G227" s="8">
        <v>43364</v>
      </c>
      <c r="H227" s="3" t="s">
        <v>12</v>
      </c>
      <c r="I227" s="4">
        <v>3500</v>
      </c>
      <c r="J227" s="30">
        <f t="shared" si="7"/>
        <v>10500</v>
      </c>
    </row>
    <row r="228" spans="1:10" x14ac:dyDescent="0.25">
      <c r="A228" s="1" t="s">
        <v>19</v>
      </c>
      <c r="B228" s="2" t="s">
        <v>20</v>
      </c>
      <c r="C228" s="38">
        <v>3</v>
      </c>
      <c r="D228" s="5" t="s">
        <v>108</v>
      </c>
      <c r="E228" s="5" t="s">
        <v>287</v>
      </c>
      <c r="F228" s="10" t="str">
        <f t="shared" si="6"/>
        <v>Raphael Ferman</v>
      </c>
      <c r="G228" s="8">
        <v>43212</v>
      </c>
      <c r="H228" s="3" t="s">
        <v>10</v>
      </c>
      <c r="I228" s="4">
        <v>5300</v>
      </c>
      <c r="J228" s="30">
        <f t="shared" si="7"/>
        <v>15900</v>
      </c>
    </row>
    <row r="229" spans="1:10" x14ac:dyDescent="0.25">
      <c r="A229" s="1" t="s">
        <v>23</v>
      </c>
      <c r="B229" s="2" t="s">
        <v>0</v>
      </c>
      <c r="C229" s="38">
        <v>1</v>
      </c>
      <c r="D229" s="5" t="s">
        <v>111</v>
      </c>
      <c r="E229" s="5" t="s">
        <v>288</v>
      </c>
      <c r="F229" s="10" t="str">
        <f t="shared" si="6"/>
        <v>Juliana Correa</v>
      </c>
      <c r="G229" s="8">
        <v>43250</v>
      </c>
      <c r="H229" s="3" t="s">
        <v>18</v>
      </c>
      <c r="I229" s="4">
        <v>3500</v>
      </c>
      <c r="J229" s="30">
        <f t="shared" si="7"/>
        <v>3500</v>
      </c>
    </row>
    <row r="230" spans="1:10" x14ac:dyDescent="0.25">
      <c r="A230" s="1" t="s">
        <v>19</v>
      </c>
      <c r="B230" s="2" t="s">
        <v>20</v>
      </c>
      <c r="C230" s="38">
        <v>5</v>
      </c>
      <c r="D230" s="5" t="s">
        <v>97</v>
      </c>
      <c r="E230" s="5" t="s">
        <v>47</v>
      </c>
      <c r="F230" s="10" t="str">
        <f t="shared" si="6"/>
        <v>Guilherme Monteiro</v>
      </c>
      <c r="G230" s="8">
        <v>43288</v>
      </c>
      <c r="H230" s="3" t="s">
        <v>7</v>
      </c>
      <c r="I230" s="4">
        <v>5300</v>
      </c>
      <c r="J230" s="30">
        <f t="shared" si="7"/>
        <v>26500</v>
      </c>
    </row>
    <row r="231" spans="1:10" x14ac:dyDescent="0.25">
      <c r="A231" s="1" t="s">
        <v>21</v>
      </c>
      <c r="B231" s="2" t="s">
        <v>22</v>
      </c>
      <c r="C231" s="38">
        <v>2</v>
      </c>
      <c r="D231" s="5" t="s">
        <v>63</v>
      </c>
      <c r="E231" s="5" t="s">
        <v>53</v>
      </c>
      <c r="F231" s="10" t="str">
        <f t="shared" si="6"/>
        <v>Lucas Freire</v>
      </c>
      <c r="G231" s="8">
        <v>43139</v>
      </c>
      <c r="H231" s="3" t="s">
        <v>18</v>
      </c>
      <c r="I231" s="4">
        <v>3400</v>
      </c>
      <c r="J231" s="30">
        <f t="shared" si="7"/>
        <v>6800</v>
      </c>
    </row>
    <row r="232" spans="1:10" x14ac:dyDescent="0.25">
      <c r="A232" s="1" t="s">
        <v>14</v>
      </c>
      <c r="B232" s="2" t="s">
        <v>3</v>
      </c>
      <c r="C232" s="38">
        <v>3</v>
      </c>
      <c r="D232" s="5" t="s">
        <v>268</v>
      </c>
      <c r="E232" s="5" t="s">
        <v>57</v>
      </c>
      <c r="F232" s="10" t="str">
        <f t="shared" si="6"/>
        <v>Vanessa Rodrigues</v>
      </c>
      <c r="G232" s="8">
        <v>43393</v>
      </c>
      <c r="H232" s="3" t="s">
        <v>12</v>
      </c>
      <c r="I232" s="4">
        <v>1400</v>
      </c>
      <c r="J232" s="30">
        <f t="shared" si="7"/>
        <v>4200</v>
      </c>
    </row>
    <row r="233" spans="1:10" x14ac:dyDescent="0.25">
      <c r="A233" s="1" t="s">
        <v>16</v>
      </c>
      <c r="B233" s="2" t="s">
        <v>1</v>
      </c>
      <c r="C233" s="38">
        <v>1</v>
      </c>
      <c r="D233" s="5" t="s">
        <v>162</v>
      </c>
      <c r="E233" s="5" t="s">
        <v>289</v>
      </c>
      <c r="F233" s="10" t="str">
        <f t="shared" si="6"/>
        <v>Jonatas Passos</v>
      </c>
      <c r="G233" s="8">
        <v>43454</v>
      </c>
      <c r="H233" s="3" t="s">
        <v>18</v>
      </c>
      <c r="I233" s="4">
        <v>2500</v>
      </c>
      <c r="J233" s="30">
        <f t="shared" si="7"/>
        <v>2500</v>
      </c>
    </row>
    <row r="234" spans="1:10" x14ac:dyDescent="0.25">
      <c r="A234" s="1" t="s">
        <v>19</v>
      </c>
      <c r="B234" s="2" t="s">
        <v>20</v>
      </c>
      <c r="C234" s="38">
        <v>1</v>
      </c>
      <c r="D234" s="5" t="s">
        <v>290</v>
      </c>
      <c r="E234" s="5" t="s">
        <v>39</v>
      </c>
      <c r="F234" s="10" t="str">
        <f t="shared" si="6"/>
        <v>Anna Silva</v>
      </c>
      <c r="G234" s="8">
        <v>43301</v>
      </c>
      <c r="H234" s="3" t="s">
        <v>9</v>
      </c>
      <c r="I234" s="4">
        <v>5300</v>
      </c>
      <c r="J234" s="30">
        <f t="shared" si="7"/>
        <v>5300</v>
      </c>
    </row>
    <row r="235" spans="1:10" x14ac:dyDescent="0.25">
      <c r="A235" s="1" t="s">
        <v>19</v>
      </c>
      <c r="B235" s="2" t="s">
        <v>20</v>
      </c>
      <c r="C235" s="38">
        <v>5</v>
      </c>
      <c r="D235" s="5" t="s">
        <v>50</v>
      </c>
      <c r="E235" s="5" t="s">
        <v>291</v>
      </c>
      <c r="F235" s="10" t="str">
        <f t="shared" si="6"/>
        <v>Caio Moraes</v>
      </c>
      <c r="G235" s="8">
        <v>43268</v>
      </c>
      <c r="H235" s="3" t="s">
        <v>18</v>
      </c>
      <c r="I235" s="4">
        <v>5300</v>
      </c>
      <c r="J235" s="30">
        <f t="shared" si="7"/>
        <v>26500</v>
      </c>
    </row>
    <row r="236" spans="1:10" x14ac:dyDescent="0.25">
      <c r="A236" s="1" t="s">
        <v>17</v>
      </c>
      <c r="B236" s="2" t="s">
        <v>4</v>
      </c>
      <c r="C236" s="38">
        <v>2</v>
      </c>
      <c r="D236" s="5" t="s">
        <v>74</v>
      </c>
      <c r="E236" s="5" t="s">
        <v>59</v>
      </c>
      <c r="F236" s="10" t="str">
        <f t="shared" si="6"/>
        <v>Pedro Santos</v>
      </c>
      <c r="G236" s="8">
        <v>43214</v>
      </c>
      <c r="H236" s="3" t="s">
        <v>6</v>
      </c>
      <c r="I236" s="4">
        <v>2100</v>
      </c>
      <c r="J236" s="30">
        <f t="shared" si="7"/>
        <v>4200</v>
      </c>
    </row>
    <row r="237" spans="1:10" x14ac:dyDescent="0.25">
      <c r="A237" s="1" t="s">
        <v>16</v>
      </c>
      <c r="B237" s="2" t="s">
        <v>1</v>
      </c>
      <c r="C237" s="38">
        <v>5</v>
      </c>
      <c r="D237" s="5" t="s">
        <v>27</v>
      </c>
      <c r="E237" s="5" t="s">
        <v>28</v>
      </c>
      <c r="F237" s="10" t="str">
        <f t="shared" si="6"/>
        <v>Clara Bruno</v>
      </c>
      <c r="G237" s="8">
        <v>43117</v>
      </c>
      <c r="H237" s="3" t="s">
        <v>11</v>
      </c>
      <c r="I237" s="4">
        <v>2500</v>
      </c>
      <c r="J237" s="30">
        <f t="shared" si="7"/>
        <v>12500</v>
      </c>
    </row>
    <row r="238" spans="1:10" x14ac:dyDescent="0.25">
      <c r="A238" s="1" t="s">
        <v>21</v>
      </c>
      <c r="B238" s="2" t="s">
        <v>22</v>
      </c>
      <c r="C238" s="38">
        <v>5</v>
      </c>
      <c r="D238" s="5" t="s">
        <v>292</v>
      </c>
      <c r="E238" s="5" t="s">
        <v>293</v>
      </c>
      <c r="F238" s="10" t="str">
        <f t="shared" si="6"/>
        <v>Vinícius Antunes</v>
      </c>
      <c r="G238" s="8">
        <v>43116</v>
      </c>
      <c r="H238" s="3" t="s">
        <v>8</v>
      </c>
      <c r="I238" s="4">
        <v>3400</v>
      </c>
      <c r="J238" s="30">
        <f t="shared" si="7"/>
        <v>17000</v>
      </c>
    </row>
    <row r="239" spans="1:10" x14ac:dyDescent="0.25">
      <c r="A239" s="1" t="s">
        <v>14</v>
      </c>
      <c r="B239" s="2" t="s">
        <v>3</v>
      </c>
      <c r="C239" s="38">
        <v>4</v>
      </c>
      <c r="D239" s="5" t="s">
        <v>294</v>
      </c>
      <c r="E239" s="5" t="s">
        <v>295</v>
      </c>
      <c r="F239" s="10" t="str">
        <f t="shared" si="6"/>
        <v>Giuseppe Borges</v>
      </c>
      <c r="G239" s="8">
        <v>43292</v>
      </c>
      <c r="H239" s="3" t="s">
        <v>9</v>
      </c>
      <c r="I239" s="4">
        <v>1400</v>
      </c>
      <c r="J239" s="30">
        <f t="shared" si="7"/>
        <v>5600</v>
      </c>
    </row>
    <row r="240" spans="1:10" x14ac:dyDescent="0.25">
      <c r="A240" s="1" t="s">
        <v>19</v>
      </c>
      <c r="B240" s="2" t="s">
        <v>20</v>
      </c>
      <c r="C240" s="38">
        <v>3</v>
      </c>
      <c r="D240" s="5" t="s">
        <v>296</v>
      </c>
      <c r="E240" s="5" t="s">
        <v>122</v>
      </c>
      <c r="F240" s="10" t="str">
        <f t="shared" si="6"/>
        <v>José Vieira</v>
      </c>
      <c r="G240" s="8">
        <v>43321</v>
      </c>
      <c r="H240" s="3" t="s">
        <v>13</v>
      </c>
      <c r="I240" s="4">
        <v>5300</v>
      </c>
      <c r="J240" s="30">
        <f t="shared" si="7"/>
        <v>15900</v>
      </c>
    </row>
    <row r="241" spans="1:10" x14ac:dyDescent="0.25">
      <c r="A241" s="1" t="s">
        <v>21</v>
      </c>
      <c r="B241" s="2" t="s">
        <v>22</v>
      </c>
      <c r="C241" s="38">
        <v>1</v>
      </c>
      <c r="D241" s="5" t="s">
        <v>44</v>
      </c>
      <c r="E241" s="5" t="s">
        <v>122</v>
      </c>
      <c r="F241" s="10" t="str">
        <f t="shared" si="6"/>
        <v>Camilla Vieira</v>
      </c>
      <c r="G241" s="8">
        <v>43462</v>
      </c>
      <c r="H241" s="3" t="s">
        <v>6</v>
      </c>
      <c r="I241" s="4">
        <v>3400</v>
      </c>
      <c r="J241" s="30">
        <f t="shared" si="7"/>
        <v>3400</v>
      </c>
    </row>
    <row r="242" spans="1:10" x14ac:dyDescent="0.25">
      <c r="A242" s="1" t="s">
        <v>21</v>
      </c>
      <c r="B242" s="2" t="s">
        <v>22</v>
      </c>
      <c r="C242" s="38">
        <v>4</v>
      </c>
      <c r="D242" s="5" t="s">
        <v>260</v>
      </c>
      <c r="E242" s="5" t="s">
        <v>261</v>
      </c>
      <c r="F242" s="10" t="str">
        <f t="shared" si="6"/>
        <v>Giovana Vilela</v>
      </c>
      <c r="G242" s="8">
        <v>43125</v>
      </c>
      <c r="H242" s="3" t="s">
        <v>11</v>
      </c>
      <c r="I242" s="4">
        <v>3400</v>
      </c>
      <c r="J242" s="30">
        <f t="shared" si="7"/>
        <v>13600</v>
      </c>
    </row>
    <row r="243" spans="1:10" x14ac:dyDescent="0.25">
      <c r="A243" s="1" t="s">
        <v>21</v>
      </c>
      <c r="B243" s="2" t="s">
        <v>22</v>
      </c>
      <c r="C243" s="38">
        <v>4</v>
      </c>
      <c r="D243" s="5" t="s">
        <v>212</v>
      </c>
      <c r="E243" s="5" t="s">
        <v>213</v>
      </c>
      <c r="F243" s="10" t="str">
        <f t="shared" si="6"/>
        <v>Thomáz Bôas</v>
      </c>
      <c r="G243" s="8">
        <v>43133</v>
      </c>
      <c r="H243" s="3" t="s">
        <v>8</v>
      </c>
      <c r="I243" s="4">
        <v>3400</v>
      </c>
      <c r="J243" s="30">
        <f t="shared" si="7"/>
        <v>13600</v>
      </c>
    </row>
    <row r="244" spans="1:10" x14ac:dyDescent="0.25">
      <c r="A244" s="1" t="s">
        <v>23</v>
      </c>
      <c r="B244" s="2" t="s">
        <v>0</v>
      </c>
      <c r="C244" s="38">
        <v>3</v>
      </c>
      <c r="D244" s="5" t="s">
        <v>46</v>
      </c>
      <c r="E244" s="5" t="s">
        <v>297</v>
      </c>
      <c r="F244" s="10" t="str">
        <f t="shared" si="6"/>
        <v>Daniel Nauenberg</v>
      </c>
      <c r="G244" s="8">
        <v>43291</v>
      </c>
      <c r="H244" s="3" t="s">
        <v>18</v>
      </c>
      <c r="I244" s="4">
        <v>3500</v>
      </c>
      <c r="J244" s="30">
        <f t="shared" si="7"/>
        <v>10500</v>
      </c>
    </row>
    <row r="245" spans="1:10" x14ac:dyDescent="0.25">
      <c r="A245" s="1" t="s">
        <v>14</v>
      </c>
      <c r="B245" s="2" t="s">
        <v>3</v>
      </c>
      <c r="C245" s="38">
        <v>4</v>
      </c>
      <c r="D245" s="5" t="s">
        <v>26</v>
      </c>
      <c r="E245" s="5" t="s">
        <v>298</v>
      </c>
      <c r="F245" s="10" t="str">
        <f t="shared" si="6"/>
        <v>Camila Bastazini</v>
      </c>
      <c r="G245" s="8">
        <v>43218</v>
      </c>
      <c r="H245" s="3" t="s">
        <v>12</v>
      </c>
      <c r="I245" s="4">
        <v>1400</v>
      </c>
      <c r="J245" s="30">
        <f t="shared" si="7"/>
        <v>5600</v>
      </c>
    </row>
    <row r="246" spans="1:10" x14ac:dyDescent="0.25">
      <c r="A246" s="1" t="s">
        <v>19</v>
      </c>
      <c r="B246" s="2" t="s">
        <v>20</v>
      </c>
      <c r="C246" s="38">
        <v>2</v>
      </c>
      <c r="D246" s="5" t="s">
        <v>299</v>
      </c>
      <c r="E246" s="5" t="s">
        <v>32</v>
      </c>
      <c r="F246" s="10" t="str">
        <f t="shared" si="6"/>
        <v>Viviane Souza</v>
      </c>
      <c r="G246" s="8">
        <v>43321</v>
      </c>
      <c r="H246" s="3" t="s">
        <v>18</v>
      </c>
      <c r="I246" s="4">
        <v>5300</v>
      </c>
      <c r="J246" s="30">
        <f t="shared" si="7"/>
        <v>10600</v>
      </c>
    </row>
    <row r="247" spans="1:10" x14ac:dyDescent="0.25">
      <c r="A247" s="1" t="s">
        <v>23</v>
      </c>
      <c r="B247" s="2" t="s">
        <v>0</v>
      </c>
      <c r="C247" s="38">
        <v>2</v>
      </c>
      <c r="D247" s="5" t="s">
        <v>125</v>
      </c>
      <c r="E247" s="5" t="s">
        <v>300</v>
      </c>
      <c r="F247" s="10" t="str">
        <f t="shared" si="6"/>
        <v>Isabela Resende</v>
      </c>
      <c r="G247" s="8">
        <v>43339</v>
      </c>
      <c r="H247" s="3" t="s">
        <v>8</v>
      </c>
      <c r="I247" s="4">
        <v>3500</v>
      </c>
      <c r="J247" s="30">
        <f t="shared" si="7"/>
        <v>7000</v>
      </c>
    </row>
    <row r="248" spans="1:10" x14ac:dyDescent="0.25">
      <c r="A248" s="1" t="s">
        <v>23</v>
      </c>
      <c r="B248" s="2" t="s">
        <v>0</v>
      </c>
      <c r="C248" s="38">
        <v>2</v>
      </c>
      <c r="D248" s="5" t="s">
        <v>125</v>
      </c>
      <c r="E248" s="5" t="s">
        <v>300</v>
      </c>
      <c r="F248" s="10" t="str">
        <f t="shared" si="6"/>
        <v>Isabela Resende</v>
      </c>
      <c r="G248" s="8">
        <v>43339</v>
      </c>
      <c r="H248" s="3" t="s">
        <v>8</v>
      </c>
      <c r="I248" s="4">
        <v>3500</v>
      </c>
      <c r="J248" s="30">
        <f t="shared" si="7"/>
        <v>7000</v>
      </c>
    </row>
    <row r="249" spans="1:10" x14ac:dyDescent="0.25">
      <c r="A249" s="1" t="s">
        <v>19</v>
      </c>
      <c r="B249" s="2" t="s">
        <v>20</v>
      </c>
      <c r="C249" s="38">
        <v>2</v>
      </c>
      <c r="D249" s="5" t="s">
        <v>299</v>
      </c>
      <c r="E249" s="5" t="s">
        <v>32</v>
      </c>
      <c r="F249" s="10" t="str">
        <f t="shared" si="6"/>
        <v>Viviane Souza</v>
      </c>
      <c r="G249" s="8">
        <v>43321</v>
      </c>
      <c r="H249" s="3" t="s">
        <v>18</v>
      </c>
      <c r="I249" s="4">
        <v>5300</v>
      </c>
      <c r="J249" s="30">
        <f t="shared" si="7"/>
        <v>10600</v>
      </c>
    </row>
    <row r="250" spans="1:10" x14ac:dyDescent="0.25">
      <c r="A250" s="1" t="s">
        <v>23</v>
      </c>
      <c r="B250" s="2" t="s">
        <v>0</v>
      </c>
      <c r="C250" s="38">
        <v>2</v>
      </c>
      <c r="D250" s="5" t="s">
        <v>125</v>
      </c>
      <c r="E250" s="5" t="s">
        <v>300</v>
      </c>
      <c r="F250" s="10" t="str">
        <f t="shared" si="6"/>
        <v>Isabela Resende</v>
      </c>
      <c r="G250" s="8">
        <v>43339</v>
      </c>
      <c r="H250" s="3" t="s">
        <v>8</v>
      </c>
      <c r="I250" s="4">
        <v>3500</v>
      </c>
      <c r="J250" s="30">
        <f t="shared" si="7"/>
        <v>7000</v>
      </c>
    </row>
    <row r="251" spans="1:10" x14ac:dyDescent="0.25">
      <c r="A251" s="1" t="s">
        <v>23</v>
      </c>
      <c r="B251" s="2" t="s">
        <v>0</v>
      </c>
      <c r="C251" s="38">
        <v>2</v>
      </c>
      <c r="D251" s="5" t="s">
        <v>125</v>
      </c>
      <c r="E251" s="5" t="s">
        <v>300</v>
      </c>
      <c r="F251" s="10" t="str">
        <f t="shared" si="6"/>
        <v>Isabela Resende</v>
      </c>
      <c r="G251" s="8">
        <v>43339</v>
      </c>
      <c r="H251" s="3" t="s">
        <v>8</v>
      </c>
      <c r="I251" s="4">
        <v>3500</v>
      </c>
      <c r="J251" s="30">
        <f t="shared" si="7"/>
        <v>7000</v>
      </c>
    </row>
  </sheetData>
  <autoFilter ref="A1:J251" xr:uid="{DBEDC5ED-0388-489C-863F-18C0612E36E8}"/>
  <conditionalFormatting sqref="A2:I254 J1:J254">
    <cfRule type="expression" dxfId="0" priority="2">
      <formula>EVEN(ROW())=ROW()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Menu</vt:lpstr>
      <vt:lpstr>Dados</vt:lpstr>
      <vt:lpstr>csku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Elisabete Sabino</dc:creator>
  <cp:lastModifiedBy>Kleber Leal</cp:lastModifiedBy>
  <dcterms:created xsi:type="dcterms:W3CDTF">2019-03-21T11:37:02Z</dcterms:created>
  <dcterms:modified xsi:type="dcterms:W3CDTF">2021-08-10T21:07:34Z</dcterms:modified>
</cp:coreProperties>
</file>